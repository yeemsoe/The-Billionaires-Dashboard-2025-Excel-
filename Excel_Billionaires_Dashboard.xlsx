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D:\Data Analyst Study\DABootCamp\Excel_Kanji\Data_Excel_Kanji\Practice\"/>
    </mc:Choice>
  </mc:AlternateContent>
  <xr:revisionPtr revIDLastSave="0" documentId="13_ncr:1_{2ED0353C-41BB-4736-87B1-1FFECDD678C7}" xr6:coauthVersionLast="36" xr6:coauthVersionMax="47" xr10:uidLastSave="{00000000-0000-0000-0000-000000000000}"/>
  <bookViews>
    <workbookView xWindow="0" yWindow="0" windowWidth="19200" windowHeight="7520" xr2:uid="{DBA30196-09A8-4EF7-A374-3801B5A719A9}"/>
  </bookViews>
  <sheets>
    <sheet name="Dashboard" sheetId="5" r:id="rId1"/>
    <sheet name="Analysis" sheetId="4" r:id="rId2"/>
    <sheet name="Data" sheetId="1" r:id="rId3"/>
  </sheets>
  <definedNames>
    <definedName name="age">Analysis!$F$4</definedName>
    <definedName name="count">#REF!</definedName>
    <definedName name="namecount">Analysis!$B$4</definedName>
    <definedName name="Networth">Analysis!$C$4</definedName>
    <definedName name="Slicer_Gender">#N/A</definedName>
    <definedName name="Slicer_Region">#N/A</definedName>
    <definedName name="worth">#REF!</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2" i="1" l="1" a="1"/>
  <c r="AA2" i="1" s="1"/>
  <c r="AW2" i="1"/>
  <c r="AV2" i="1"/>
  <c r="AU2" i="1"/>
  <c r="AT2" i="1"/>
  <c r="AS2" i="1"/>
  <c r="AR2" i="1"/>
  <c r="AQ2" i="1"/>
  <c r="AP2" i="1"/>
  <c r="AO2" i="1"/>
  <c r="AN2" i="1"/>
  <c r="AM2" i="1"/>
  <c r="AL2" i="1"/>
  <c r="AK2" i="1"/>
  <c r="AJ2" i="1"/>
  <c r="AI2" i="1"/>
  <c r="AH2" i="1"/>
  <c r="AG2" i="1"/>
  <c r="AF2" i="1"/>
  <c r="AE2" i="1"/>
  <c r="AD2" i="1"/>
  <c r="AC2" i="1"/>
  <c r="AB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<sst xmlns="http://schemas.openxmlformats.org/spreadsheetml/2006/main" count="5311" uniqueCount="1770">
  <si>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</si>
  <si>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</si>
  <si>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</si>
  <si>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</si>
  <si>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</si>
  <si>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</si>
  <si>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</si>
  <si>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</si>
  <si>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</si>
  <si>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</si>
  <si>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</si>
  <si>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</si>
  <si>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</si>
  <si>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</si>
  <si>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</si>
  <si>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</si>
  <si>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</si>
  <si>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</si>
  <si>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</si>
  <si>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</si>
  <si>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</si>
  <si>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</si>
  <si>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</si>
  <si>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</si>
  <si>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</si>
  <si>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</si>
  <si>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</si>
  <si>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</si>
  <si>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</si>
  <si>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</si>
  <si>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</si>
  <si>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</si>
  <si>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</si>
  <si>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</si>
  <si>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</si>
  <si>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</si>
  <si>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</si>
  <si>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</si>
  <si>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</si>
  <si>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</si>
  <si>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</si>
  <si>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</si>
  <si>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</si>
  <si>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</si>
  <si>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</si>
  <si>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</si>
  <si>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</si>
  <si>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</si>
  <si>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</si>
  <si>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</si>
  <si>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</si>
  <si>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</si>
  <si>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</si>
  <si>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</si>
  <si>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</si>
  <si>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</si>
  <si>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</si>
  <si>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</si>
  <si>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</si>
  <si>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</si>
  <si>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</si>
  <si>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</si>
  <si>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</si>
  <si>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</si>
  <si>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</si>
  <si>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</si>
  <si>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</si>
  <si>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</si>
  <si>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</si>
  <si>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</si>
  <si>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</si>
  <si>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</si>
  <si>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</si>
  <si>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</si>
  <si>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</si>
  <si>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</si>
  <si>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</si>
  <si>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</si>
  <si>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</si>
  <si>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</si>
  <si>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</si>
  <si>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</si>
  <si>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</si>
  <si>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</si>
  <si>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</si>
  <si>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</si>
  <si>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</si>
  <si>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</si>
  <si>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</si>
  <si>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</si>
  <si>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</si>
  <si>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</si>
  <si>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</si>
  <si>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</si>
  <si>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</si>
  <si>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</si>
  <si>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</si>
  <si>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</si>
  <si>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</si>
  <si>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</si>
  <si>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</si>
  <si>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</si>
  <si>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</si>
  <si>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</si>
  <si>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</si>
  <si>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</si>
  <si>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</si>
  <si>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</si>
  <si>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</si>
  <si>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</si>
  <si>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</si>
  <si>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</si>
  <si>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</si>
  <si>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</si>
  <si>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</si>
  <si>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</si>
  <si>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</si>
  <si>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</si>
  <si>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</si>
  <si>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</si>
  <si>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</si>
  <si>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</si>
  <si>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</si>
  <si>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</si>
  <si>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</si>
  <si>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</si>
  <si>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</si>
  <si>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</si>
  <si>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</si>
  <si>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</si>
  <si>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</si>
  <si>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</si>
  <si>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</si>
  <si>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</si>
  <si>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</si>
  <si>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</si>
  <si>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</si>
  <si>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</si>
  <si>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</si>
  <si>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</si>
  <si>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</si>
  <si>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</si>
  <si>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</si>
  <si>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</si>
  <si>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</si>
  <si>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</si>
  <si>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</si>
  <si>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</si>
  <si>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</si>
  <si>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</si>
  <si>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</si>
  <si>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</si>
  <si>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</si>
  <si>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</si>
  <si>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</si>
  <si>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</si>
  <si>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</si>
  <si>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</si>
  <si>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</si>
  <si>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</si>
  <si>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</si>
  <si>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</si>
  <si>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</si>
  <si>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</si>
  <si>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</si>
  <si>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</si>
  <si>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</si>
  <si>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</si>
  <si>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</si>
  <si>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</si>
  <si>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</si>
  <si>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</si>
  <si>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</si>
  <si>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</si>
  <si>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</si>
  <si>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</si>
  <si>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</si>
  <si>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</si>
  <si>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</si>
  <si>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</si>
  <si>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</si>
  <si>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</si>
  <si>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</si>
  <si>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</si>
  <si>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</si>
  <si>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</si>
  <si>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</si>
  <si>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</si>
  <si>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</si>
  <si>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</si>
  <si>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</si>
  <si>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</si>
  <si>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</si>
  <si>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</si>
  <si>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</si>
  <si>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</si>
  <si>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</si>
  <si>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</si>
  <si>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</si>
  <si>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</si>
  <si>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</si>
  <si>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</si>
  <si>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</si>
  <si>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</si>
  <si>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</si>
  <si>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</si>
  <si>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</si>
  <si>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</si>
  <si>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</si>
  <si>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</si>
  <si>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</si>
  <si>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</si>
  <si>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</si>
  <si>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</si>
  <si>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</si>
  <si>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</si>
  <si>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</si>
  <si>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</si>
  <si>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</si>
  <si>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</si>
  <si>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</si>
  <si>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</si>
  <si>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</si>
  <si>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</si>
  <si>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</si>
  <si>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</si>
  <si>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</si>
  <si>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</si>
  <si>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</si>
  <si>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</si>
  <si>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</si>
  <si>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</si>
  <si>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</si>
  <si>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</si>
  <si>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</si>
  <si>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</si>
  <si>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</si>
  <si>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</si>
  <si>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</si>
  <si>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</si>
  <si>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</si>
  <si>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</si>
  <si>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</si>
  <si>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</si>
  <si>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</si>
  <si>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</si>
  <si>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</si>
  <si>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</si>
  <si>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</si>
  <si>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</si>
  <si>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</si>
  <si>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</si>
  <si>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</si>
  <si>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</si>
  <si>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</si>
  <si>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</si>
  <si>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</si>
  <si>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</si>
  <si>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</si>
  <si>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</si>
  <si>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</si>
  <si>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</si>
  <si>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</si>
  <si>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</si>
  <si>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</si>
  <si>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</si>
  <si>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</si>
  <si>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</si>
  <si>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</si>
  <si>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</si>
  <si>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</si>
  <si>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</si>
  <si>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</si>
  <si>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</si>
  <si>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</si>
  <si>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</si>
  <si>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</si>
  <si>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</si>
  <si>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</si>
  <si>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</si>
  <si>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</si>
  <si>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</si>
  <si>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</si>
  <si>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</si>
  <si>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</si>
  <si>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</si>
  <si>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</si>
  <si>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</si>
  <si>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</si>
  <si>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</si>
  <si>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</si>
  <si>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</si>
  <si>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</si>
  <si>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</si>
  <si>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</si>
  <si>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</si>
  <si>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</si>
  <si>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</si>
  <si>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</si>
  <si>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</si>
  <si>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</si>
  <si>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</si>
  <si>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</si>
  <si>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</si>
  <si>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</si>
  <si>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</si>
  <si>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</si>
  <si>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</si>
  <si>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</si>
  <si>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</si>
  <si>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</si>
  <si>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</si>
  <si>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</si>
  <si>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</si>
  <si>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</si>
  <si>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</si>
  <si>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</si>
  <si>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</si>
  <si>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</si>
  <si>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</si>
  <si>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</si>
  <si>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</si>
  <si>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</si>
  <si>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</si>
  <si>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</si>
  <si>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</si>
  <si>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</si>
  <si>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</si>
  <si>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</si>
  <si>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</si>
  <si>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</si>
  <si>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</si>
  <si>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</si>
  <si>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</si>
  <si>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</si>
  <si>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</si>
  <si>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</si>
  <si>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</si>
  <si>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</si>
  <si>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</si>
  <si>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</si>
  <si>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</si>
  <si>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</si>
  <si>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</si>
  <si>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</si>
  <si>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</si>
  <si>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</si>
  <si>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</si>
  <si>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</si>
  <si>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</si>
  <si>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</si>
  <si>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</si>
  <si>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</si>
  <si>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</si>
  <si>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</si>
  <si>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</si>
  <si>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</si>
  <si>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</si>
  <si>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</si>
  <si>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</si>
  <si>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</si>
  <si>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</si>
  <si>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</si>
  <si>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</si>
  <si>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</si>
  <si>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</si>
  <si>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</si>
  <si>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</si>
  <si>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</si>
  <si>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</si>
  <si>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</si>
  <si>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</si>
  <si>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</si>
  <si>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</si>
  <si>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</si>
  <si>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</si>
  <si>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</si>
  <si>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</si>
  <si>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</si>
  <si>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</si>
  <si>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</si>
  <si>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</si>
  <si>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</si>
  <si>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</si>
  <si>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</si>
  <si>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</si>
  <si>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</si>
  <si>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</si>
  <si>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</si>
  <si>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</si>
  <si>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</si>
  <si>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</si>
  <si>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</si>
  <si>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</si>
  <si>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</si>
  <si>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</si>
  <si>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</si>
  <si>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</si>
  <si>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</si>
  <si>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</si>
  <si>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</si>
  <si>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</si>
  <si>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</si>
  <si>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</si>
  <si>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</si>
  <si>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</si>
  <si>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</si>
  <si>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</si>
  <si>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</si>
  <si>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</si>
  <si>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</si>
  <si>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</si>
  <si>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</si>
  <si>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</si>
  <si>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</si>
  <si>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</si>
  <si>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</si>
  <si>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</si>
  <si>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</si>
  <si>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</si>
  <si>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</si>
  <si>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</si>
  <si>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</si>
  <si>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</si>
  <si>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</si>
  <si>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</si>
  <si>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</si>
  <si>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</si>
  <si>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</si>
  <si>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</si>
  <si>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</si>
  <si>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</si>
  <si>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</si>
  <si>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</si>
  <si>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</si>
  <si>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</si>
  <si>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</si>
  <si>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</si>
  <si>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</si>
  <si>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</si>
  <si>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</si>
  <si>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</si>
  <si>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</si>
  <si>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</si>
  <si>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</si>
  <si>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</si>
  <si>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</si>
  <si>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</si>
  <si>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</si>
  <si>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</si>
  <si>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</si>
  <si>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</si>
  <si>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</si>
  <si>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</si>
  <si>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</si>
  <si>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</si>
  <si>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</si>
  <si>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</si>
  <si>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</si>
  <si>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</si>
  <si>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</si>
  <si>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</si>
  <si>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</si>
  <si>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</si>
  <si>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</si>
  <si>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</si>
  <si>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</si>
  <si>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</si>
  <si>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</si>
  <si>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</si>
  <si>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</si>
  <si>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</si>
  <si>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</si>
  <si>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</si>
  <si>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</si>
  <si>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</si>
  <si>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</si>
  <si>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</si>
  <si>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</si>
  <si>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</si>
  <si>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</si>
  <si>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</si>
  <si>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</si>
  <si>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</si>
  <si>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</si>
  <si>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</si>
  <si>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</si>
  <si>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</si>
  <si>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</si>
  <si>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</si>
  <si>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</si>
  <si>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</si>
  <si>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</si>
  <si>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</si>
  <si>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</si>
  <si>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</si>
  <si>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</si>
  <si>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</si>
  <si>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</si>
  <si>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</si>
  <si>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</si>
  <si>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</si>
  <si>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</si>
  <si>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</si>
  <si>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</si>
  <si>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</si>
  <si>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</si>
  <si>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</si>
  <si>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</si>
  <si>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</si>
  <si>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</si>
  <si>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</si>
  <si>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</si>
  <si>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</si>
  <si>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</si>
  <si>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</si>
  <si>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</si>
  <si>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</si>
  <si>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</si>
  <si>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</si>
  <si>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</si>
  <si>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</si>
  <si>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</si>
  <si>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</si>
  <si>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</si>
  <si>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</si>
  <si>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</si>
  <si>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</si>
  <si>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</si>
  <si>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</si>
  <si>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</si>
  <si>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</si>
  <si>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</si>
  <si>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</si>
  <si>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</si>
  <si>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</si>
  <si>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</si>
  <si>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</si>
  <si>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</si>
  <si>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</si>
  <si>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</si>
  <si>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</si>
  <si>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</si>
  <si>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</si>
  <si>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</si>
  <si>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</si>
  <si>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</si>
  <si>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</si>
  <si>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</si>
  <si>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</si>
  <si>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</si>
  <si>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</si>
  <si>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</si>
  <si>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</si>
  <si>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</si>
  <si>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</si>
  <si>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</si>
  <si>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</si>
  <si>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</si>
  <si>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</si>
  <si>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</si>
  <si>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</si>
  <si>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</si>
  <si>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</si>
  <si>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</si>
  <si>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</si>
  <si>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</si>
  <si>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</si>
  <si>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</si>
  <si>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</si>
  <si>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</si>
  <si>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</si>
  <si>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</si>
  <si>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</si>
  <si>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</si>
  <si>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</si>
  <si>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</si>
  <si>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</si>
  <si>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</si>
  <si>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</si>
  <si>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</si>
  <si>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</si>
  <si>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</si>
  <si>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</si>
  <si>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</si>
  <si>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</si>
  <si>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</si>
  <si>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</si>
  <si>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</si>
  <si>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</si>
  <si>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</si>
  <si>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</si>
  <si>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</si>
  <si>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</si>
  <si>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</si>
  <si>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</si>
  <si>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</si>
  <si>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</si>
  <si>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</si>
  <si>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</si>
  <si>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</si>
  <si>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</si>
  <si>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</si>
  <si>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</si>
  <si>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</si>
  <si>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</si>
  <si>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</si>
  <si>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</si>
  <si>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</si>
  <si>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</si>
  <si>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</si>
  <si>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</si>
  <si>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</si>
  <si>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</si>
  <si>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</si>
  <si>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</si>
  <si>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</si>
  <si>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</si>
  <si>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</si>
  <si>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</si>
  <si>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</si>
  <si>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</si>
  <si>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</si>
  <si>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</si>
  <si>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</si>
  <si>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</si>
  <si>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</si>
  <si>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</si>
  <si>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</si>
  <si>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</si>
  <si>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</si>
  <si>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</si>
  <si>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</si>
  <si>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</si>
  <si>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</si>
  <si>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</si>
  <si>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</si>
  <si>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</si>
  <si>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</si>
  <si>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</si>
  <si>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</si>
  <si>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</si>
  <si>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</si>
  <si>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</si>
  <si>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</si>
  <si>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</si>
  <si>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</si>
  <si>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</si>
  <si>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</si>
  <si>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</si>
  <si>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</si>
  <si>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</si>
  <si>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</si>
  <si>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</si>
  <si>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</si>
  <si>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</si>
  <si>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</si>
  <si>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</si>
  <si>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</si>
  <si>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</si>
  <si>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</si>
  <si>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</si>
  <si>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</si>
  <si>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</si>
  <si>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</si>
  <si>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</si>
  <si>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</si>
  <si>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</si>
  <si>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</si>
  <si>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</si>
  <si>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</si>
  <si>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</si>
  <si>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</si>
  <si>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</si>
  <si>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</si>
  <si>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</si>
  <si>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</si>
  <si>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</si>
  <si>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</si>
  <si>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</si>
  <si>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</si>
  <si>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</si>
  <si>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</si>
  <si>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</si>
  <si>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</si>
  <si>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</si>
  <si>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</si>
  <si>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</si>
  <si>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</si>
  <si>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</si>
  <si>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</si>
  <si>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</si>
  <si>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</si>
  <si>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</si>
  <si>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</si>
  <si>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</si>
  <si>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</si>
  <si>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</si>
  <si>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</si>
  <si>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</si>
  <si>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</si>
  <si>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</si>
  <si>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</si>
  <si>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</si>
  <si>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</si>
  <si>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</si>
  <si>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</si>
  <si>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</si>
  <si>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</si>
  <si>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</si>
  <si>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</si>
  <si>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</si>
  <si>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</si>
  <si>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</si>
  <si>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</si>
  <si>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</si>
  <si>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</si>
  <si>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</si>
  <si>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</si>
  <si>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</si>
  <si>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</si>
  <si>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</si>
  <si>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</si>
  <si>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</si>
  <si>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</si>
  <si>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</si>
  <si>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</si>
  <si>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</si>
  <si>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</si>
  <si>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</si>
  <si>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</si>
  <si>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</si>
  <si>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</si>
  <si>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</si>
  <si>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</si>
  <si>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</si>
  <si>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</si>
  <si>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</si>
  <si>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</si>
  <si>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</si>
  <si>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</si>
  <si>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</si>
  <si>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</si>
  <si>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</si>
  <si>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</si>
  <si>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</si>
  <si>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</si>
  <si>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</si>
  <si>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</si>
  <si>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</si>
  <si>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</si>
  <si>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</si>
  <si>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</si>
  <si>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</si>
  <si>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</si>
  <si>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</si>
  <si>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</si>
  <si>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</si>
  <si>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</si>
  <si>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</si>
  <si>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</si>
  <si>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</si>
  <si>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</si>
  <si>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</si>
  <si>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</si>
  <si>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</si>
  <si>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</si>
  <si>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</si>
  <si>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</si>
  <si>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</si>
  <si>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</si>
  <si>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</si>
  <si>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</si>
  <si>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</si>
  <si>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</si>
  <si>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</si>
  <si>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</si>
  <si>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</si>
  <si>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</si>
  <si>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</si>
  <si>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</si>
  <si>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</si>
  <si>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</si>
  <si>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</si>
  <si>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</si>
  <si>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</si>
  <si>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</si>
  <si>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</si>
  <si>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</si>
  <si>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</si>
  <si>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</si>
  <si>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</si>
  <si>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</si>
  <si>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</si>
  <si>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</si>
  <si>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</si>
  <si>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</si>
  <si>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</si>
  <si>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</si>
  <si>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</si>
  <si>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</si>
  <si>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</si>
  <si>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</si>
  <si>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</si>
  <si>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</si>
  <si>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</si>
  <si>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</si>
  <si>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</si>
  <si>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</si>
  <si>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</si>
  <si>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</si>
  <si>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</si>
  <si>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</si>
  <si>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</si>
  <si>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</si>
  <si>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</si>
  <si>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</si>
  <si>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</si>
  <si>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</si>
  <si>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</si>
  <si>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</si>
  <si>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</si>
  <si>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</si>
  <si>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</si>
  <si>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</si>
  <si>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</si>
  <si>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</si>
  <si>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</si>
  <si>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</si>
  <si>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</si>
  <si>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</si>
  <si>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</si>
  <si>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</si>
  <si>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</si>
  <si>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</si>
  <si>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</si>
  <si>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</si>
  <si>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</si>
  <si>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</si>
  <si>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</si>
  <si>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</si>
  <si>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</si>
  <si>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</si>
  <si>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</si>
  <si>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</si>
  <si>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</si>
  <si>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</si>
  <si>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</si>
  <si>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</si>
  <si>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</si>
  <si>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</si>
  <si>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</si>
  <si>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</si>
  <si>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</si>
  <si>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</si>
  <si>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</si>
  <si>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</si>
  <si>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</si>
  <si>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</si>
  <si>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</si>
  <si>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</si>
  <si>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</si>
  <si>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</si>
  <si>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</si>
  <si>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</si>
  <si>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</si>
  <si>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</si>
  <si>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</si>
  <si>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</si>
  <si>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</si>
  <si>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</si>
  <si>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</si>
  <si>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</si>
  <si>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</si>
  <si>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</si>
  <si>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</si>
  <si>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</si>
  <si>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</si>
  <si>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</si>
  <si>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</si>
  <si>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</si>
  <si>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</si>
  <si>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</si>
  <si>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</si>
  <si>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</si>
  <si>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</si>
  <si>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</si>
  <si>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</si>
  <si>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</si>
  <si>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</si>
  <si>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</si>
  <si>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</si>
  <si>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</si>
  <si>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</si>
  <si>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</si>
  <si>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</si>
  <si>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</si>
  <si>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</si>
  <si>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</si>
  <si>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</si>
  <si>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</si>
  <si>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</si>
  <si>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</si>
  <si>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</si>
  <si>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</si>
  <si>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</si>
  <si>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</si>
  <si>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</si>
  <si>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</si>
  <si>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</si>
  <si>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</si>
  <si>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</si>
  <si>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</si>
  <si>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</si>
  <si>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</si>
  <si>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</si>
  <si>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</si>
  <si>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</si>
  <si>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</si>
  <si>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</si>
  <si>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</si>
  <si>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</si>
  <si>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</si>
  <si>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</si>
  <si>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</si>
  <si>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</si>
  <si>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</si>
  <si>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</si>
  <si>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</si>
  <si>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</si>
  <si>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</si>
  <si>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</si>
  <si>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</si>
  <si>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</si>
  <si>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</si>
  <si>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</si>
  <si>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</si>
  <si>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</si>
  <si>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</si>
  <si>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</si>
  <si>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</si>
  <si>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</si>
  <si>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</si>
  <si>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</si>
  <si>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</si>
  <si>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</si>
  <si>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</si>
  <si>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</si>
  <si>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</si>
  <si>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</si>
  <si>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</si>
  <si>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</si>
  <si>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</si>
  <si>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</si>
  <si>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</si>
  <si>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</si>
  <si>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</si>
  <si>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</si>
  <si>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</si>
  <si>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</si>
  <si>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</si>
  <si>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</si>
  <si>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</si>
  <si>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</si>
  <si>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</si>
  <si>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</si>
  <si>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</si>
  <si>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</si>
  <si>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</si>
  <si>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</si>
  <si>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</si>
  <si>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</si>
  <si>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</si>
  <si>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</si>
  <si>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</si>
  <si>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</si>
  <si>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</si>
  <si>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</si>
  <si>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</si>
  <si>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</si>
  <si>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</si>
  <si>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</si>
  <si>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</si>
  <si>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</si>
  <si>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</si>
  <si>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</si>
  <si>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</si>
  <si>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</si>
  <si>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</si>
  <si>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</si>
  <si>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</si>
  <si>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</si>
  <si>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</si>
  <si>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</si>
  <si>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</si>
  <si>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</si>
  <si>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</si>
  <si>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</si>
  <si>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</si>
  <si>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</si>
  <si>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</si>
  <si>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</si>
  <si>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</si>
  <si>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</si>
  <si>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</si>
  <si>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</si>
  <si>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</si>
  <si>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</si>
  <si>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</si>
  <si>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</si>
  <si>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</si>
  <si>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</si>
  <si>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</si>
  <si>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</si>
  <si>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</si>
  <si>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</si>
  <si>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</si>
  <si>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</si>
  <si>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</si>
  <si>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</si>
  <si>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</si>
  <si>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</si>
  <si>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</si>
  <si>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</si>
  <si>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</si>
  <si>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</si>
  <si>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</si>
  <si>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</si>
  <si>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</si>
  <si>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</si>
  <si>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</si>
  <si>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</si>
  <si>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</si>
  <si>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</si>
  <si>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</si>
  <si>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</si>
  <si>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</si>
  <si>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</si>
  <si>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</si>
  <si>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</si>
  <si>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</si>
  <si>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</si>
  <si>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</si>
  <si>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</si>
  <si>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</si>
  <si>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</si>
  <si>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</si>
  <si>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</si>
  <si>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</si>
  <si>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</si>
  <si>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</si>
  <si>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</si>
  <si>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</si>
  <si>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</si>
  <si>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</si>
  <si>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</si>
  <si>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</si>
  <si>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</si>
  <si>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</si>
  <si>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</si>
  <si>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</si>
  <si>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</si>
  <si>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</si>
  <si>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</si>
  <si>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</si>
  <si>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</si>
  <si>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</si>
  <si>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</si>
  <si>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</si>
  <si>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</si>
  <si>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</si>
  <si>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</si>
  <si>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</si>
  <si>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</si>
  <si>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</si>
  <si>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</si>
  <si>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</si>
  <si>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</si>
  <si>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</si>
  <si>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</si>
  <si>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</si>
  <si>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</si>
  <si>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</si>
  <si>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</si>
  <si>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</si>
  <si>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</si>
  <si>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</si>
  <si>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</si>
  <si>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</si>
  <si>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</si>
  <si>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</si>
  <si>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</si>
  <si>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</si>
  <si>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</si>
  <si>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</si>
  <si>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</si>
  <si>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</si>
  <si>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</si>
  <si>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</si>
  <si>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</si>
  <si>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</si>
  <si>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</si>
  <si>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</si>
  <si>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</si>
  <si>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</si>
  <si>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</si>
  <si>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</si>
  <si>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</si>
  <si>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</si>
  <si>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</si>
  <si>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</si>
  <si>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</si>
  <si>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</si>
  <si>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</si>
  <si>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</si>
  <si>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</si>
  <si>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</si>
  <si>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</si>
  <si>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</si>
  <si>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</si>
  <si>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</si>
  <si>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</si>
  <si>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</si>
  <si>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</si>
  <si>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</si>
  <si>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</si>
  <si>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</si>
  <si>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</si>
  <si>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</si>
  <si>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</si>
  <si>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</si>
  <si>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</si>
  <si>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</si>
  <si>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</si>
  <si>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</si>
  <si>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</si>
  <si>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</si>
  <si>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</si>
  <si>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</si>
  <si>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</si>
  <si>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</si>
  <si>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</si>
  <si>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</si>
  <si>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</si>
  <si>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</si>
  <si>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</si>
  <si>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</si>
  <si>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</si>
  <si>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</si>
  <si>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</si>
  <si>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</si>
  <si>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</si>
  <si>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</si>
  <si>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</si>
  <si>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</si>
  <si>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</si>
  <si>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</si>
  <si>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</si>
  <si>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</si>
  <si>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</si>
  <si>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</si>
  <si>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</si>
  <si>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</si>
  <si>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</si>
  <si>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</si>
  <si>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</si>
  <si>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</si>
  <si>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</si>
  <si>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</si>
  <si>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</si>
  <si>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</si>
  <si>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</si>
  <si>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</si>
  <si>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</si>
  <si>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</si>
  <si>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</si>
  <si>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</si>
  <si>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</si>
  <si>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</si>
  <si>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</si>
  <si>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</si>
  <si>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</si>
  <si>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</si>
  <si>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</si>
  <si>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</si>
  <si>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</si>
  <si>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</si>
  <si>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</si>
  <si>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</si>
  <si>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</si>
  <si>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</si>
  <si>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</si>
  <si>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</si>
  <si>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</si>
  <si>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</si>
  <si>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</si>
  <si>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</si>
  <si>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</si>
  <si>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</si>
  <si>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</si>
  <si>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</si>
  <si>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</si>
  <si>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</si>
  <si>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</si>
  <si>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</si>
  <si>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</si>
  <si>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</si>
  <si>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</si>
  <si>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</si>
  <si>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</si>
  <si>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</si>
  <si>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</si>
  <si>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</si>
  <si>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</si>
  <si>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</si>
  <si>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</si>
  <si>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</si>
  <si>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</si>
  <si>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</si>
  <si>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</si>
  <si>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</si>
  <si>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</si>
  <si>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</si>
  <si>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</si>
  <si>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</si>
  <si>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</si>
  <si>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</si>
  <si>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</si>
  <si>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</si>
  <si>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</si>
  <si>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</si>
  <si>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</si>
  <si>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</si>
  <si>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</si>
  <si>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</si>
  <si>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</si>
  <si>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</si>
  <si>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</si>
  <si>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</si>
  <si>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</si>
  <si>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</si>
  <si>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</si>
  <si>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</si>
  <si>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</si>
  <si>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</si>
  <si>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</si>
  <si>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</si>
  <si>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</si>
  <si>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</si>
  <si>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</si>
  <si>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</si>
  <si>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</si>
  <si>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</si>
  <si>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</si>
  <si>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</si>
  <si>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</si>
  <si>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</si>
  <si>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</si>
  <si>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</si>
  <si>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</si>
  <si>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</si>
  <si>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</si>
  <si>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</si>
  <si>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</si>
  <si>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</si>
  <si>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</si>
  <si>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</si>
  <si>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</si>
  <si>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</si>
  <si>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</si>
  <si>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</si>
  <si>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</si>
  <si>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</si>
  <si>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</si>
  <si>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</si>
  <si>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</si>
  <si>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</si>
  <si>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</si>
  <si>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</si>
  <si>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</si>
  <si>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</si>
  <si>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</si>
  <si>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</si>
  <si>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</si>
  <si>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</si>
  <si>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</si>
  <si>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</si>
  <si>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</si>
  <si>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</si>
  <si>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</si>
  <si>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</si>
  <si>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</si>
  <si>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</si>
  <si>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</si>
  <si>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</si>
  <si>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</si>
  <si>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</si>
  <si>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</si>
  <si>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</si>
  <si>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</si>
  <si>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</si>
  <si>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</si>
  <si>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</si>
  <si>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</si>
  <si>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</si>
  <si>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</si>
  <si>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</si>
  <si>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</si>
  <si>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</si>
  <si>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</si>
  <si>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</si>
  <si>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</si>
  <si>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</si>
  <si>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</si>
  <si>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</si>
  <si>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</si>
  <si>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</si>
  <si>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</si>
  <si>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</si>
  <si>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</si>
  <si>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</si>
  <si>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</si>
  <si>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</si>
  <si>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</si>
  <si>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</si>
  <si>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</si>
  <si>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</si>
  <si>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</si>
  <si>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</si>
  <si>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</si>
  <si>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</si>
  <si>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</si>
  <si>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</si>
  <si>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</si>
  <si>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</si>
  <si>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</si>
  <si>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</si>
  <si>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</si>
  <si>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</si>
  <si>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</si>
  <si>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</si>
  <si>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</si>
  <si>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</si>
  <si>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</si>
  <si>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</si>
  <si>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</si>
  <si>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</si>
  <si>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</si>
  <si>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</si>
  <si>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</si>
  <si>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</si>
  <si>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</si>
  <si>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</si>
  <si>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</si>
  <si>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</si>
  <si>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</si>
  <si>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</si>
  <si>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</si>
  <si>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</si>
  <si>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</si>
  <si>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</si>
  <si>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</si>
  <si>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</si>
  <si>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</si>
  <si>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</si>
  <si>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</si>
  <si>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</si>
  <si>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</si>
  <si>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</si>
  <si>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</si>
  <si>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</si>
  <si>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</si>
  <si>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</si>
  <si>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</si>
  <si>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</si>
  <si>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</si>
  <si>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</si>
  <si>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</si>
  <si>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</si>
  <si>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</si>
  <si>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</si>
  <si>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</si>
  <si>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</si>
  <si>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</si>
  <si>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</si>
  <si>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</si>
  <si>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</si>
  <si>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</si>
  <si>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</si>
  <si>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</si>
  <si>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</si>
  <si>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</si>
  <si>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</si>
  <si>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</si>
  <si>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</si>
  <si>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</si>
  <si>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</si>
  <si>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</si>
  <si>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</si>
  <si>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</si>
  <si>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</si>
  <si>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</si>
  <si>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</si>
  <si>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</si>
  <si>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</si>
  <si>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</si>
  <si>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</si>
  <si>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</si>
  <si>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</si>
  <si>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</si>
  <si>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</si>
  <si>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</si>
  <si>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</si>
  <si>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</si>
  <si>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</si>
  <si>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</si>
  <si>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</si>
  <si>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</si>
  <si>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</si>
  <si>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</si>
  <si>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</si>
  <si>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</si>
  <si>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</si>
  <si>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</si>
  <si>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</si>
  <si>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</si>
  <si>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</si>
  <si>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</si>
  <si>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</si>
  <si>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</si>
  <si>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</si>
  <si>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</si>
  <si>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</si>
  <si>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</si>
  <si>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</si>
  <si>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</si>
  <si>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</si>
  <si>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</si>
  <si>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</si>
  <si>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</si>
  <si>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</si>
  <si>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</si>
  <si>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</si>
  <si>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</si>
  <si>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</si>
  <si>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</si>
  <si>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</si>
  <si>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</si>
  <si>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</si>
  <si>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</si>
  <si>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</si>
  <si>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</si>
  <si>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</si>
  <si>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</si>
  <si>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</si>
  <si>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</si>
  <si>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</si>
  <si>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</si>
  <si>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</si>
  <si>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</si>
  <si>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</si>
  <si>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</si>
  <si>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</si>
  <si>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</si>
  <si>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</si>
  <si>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</si>
  <si>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</si>
  <si>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</si>
  <si>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</si>
  <si>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</si>
  <si>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</si>
  <si>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</si>
  <si>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</si>
  <si>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</si>
  <si>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</si>
  <si>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</si>
  <si>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</si>
  <si>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</si>
  <si>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</si>
  <si>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</si>
  <si>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</si>
  <si>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</si>
  <si>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</si>
  <si>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</si>
  <si>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</si>
  <si>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</si>
  <si>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</si>
  <si>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</si>
  <si>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</si>
  <si>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</si>
  <si>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</si>
  <si>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</si>
  <si>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</si>
  <si>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</si>
  <si>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</si>
  <si>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</si>
  <si>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</si>
  <si>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</si>
  <si>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</si>
  <si>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</si>
  <si>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</si>
  <si>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</si>
  <si>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</si>
  <si>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</si>
  <si>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</si>
  <si>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</si>
  <si>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</si>
  <si>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</si>
  <si>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</si>
  <si>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</si>
  <si>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</si>
  <si>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</si>
  <si>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</si>
  <si>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</si>
  <si>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</si>
  <si>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</si>
  <si>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</si>
  <si>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</si>
  <si>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</si>
  <si>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</si>
  <si>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</si>
  <si>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</si>
  <si>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</si>
  <si>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</si>
  <si>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</si>
  <si>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</si>
  <si>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</si>
  <si>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</si>
  <si>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</si>
  <si>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</si>
  <si>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</si>
  <si>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</si>
  <si>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</si>
  <si>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</si>
  <si>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</si>
  <si>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</si>
  <si>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</si>
  <si>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</si>
  <si>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</si>
  <si>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</si>
  <si>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</si>
  <si>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</si>
  <si>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</si>
  <si>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</si>
  <si>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</si>
  <si>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</si>
  <si>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</si>
  <si>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</si>
  <si>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</si>
  <si>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</si>
  <si>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</si>
  <si>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</si>
  <si>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</si>
  <si>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</si>
  <si>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</si>
  <si>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</si>
  <si>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</si>
  <si>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</si>
  <si>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</si>
  <si>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</si>
  <si>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</si>
  <si>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</si>
  <si>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</si>
  <si>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</si>
  <si>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</si>
  <si>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</si>
  <si>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</si>
  <si>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</si>
  <si>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</si>
  <si>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</si>
  <si>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</si>
  <si>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</si>
  <si>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</si>
  <si>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</si>
  <si>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</si>
  <si>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</si>
  <si>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</si>
  <si>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</si>
  <si>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</si>
  <si>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</si>
  <si>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</si>
  <si>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</si>
  <si>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</si>
  <si>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</si>
  <si>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</si>
  <si>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</si>
  <si>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</si>
  <si>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</si>
  <si>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</si>
  <si>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</si>
  <si>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</si>
  <si>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</si>
  <si>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</si>
  <si>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</si>
  <si>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</si>
  <si>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</si>
  <si>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</si>
  <si>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</si>
  <si>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</si>
  <si>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</si>
  <si>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</si>
  <si>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</si>
  <si>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</si>
  <si>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</si>
  <si>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</si>
  <si>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</si>
  <si>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</si>
  <si>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</si>
  <si>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</si>
  <si>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</si>
  <si>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</si>
  <si>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</si>
  <si>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</si>
  <si>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</si>
  <si>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</si>
  <si>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</si>
  <si>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</si>
  <si>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</si>
  <si>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</si>
  <si>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</si>
  <si>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</si>
  <si>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</si>
  <si>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</si>
  <si>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</si>
  <si>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</si>
  <si>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</si>
  <si>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</si>
  <si>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</si>
  <si>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</si>
  <si>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</si>
  <si>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</si>
  <si>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</si>
  <si>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</si>
  <si>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</si>
  <si>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</si>
  <si>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</si>
  <si>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</si>
  <si>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</si>
  <si>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</si>
  <si>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</si>
  <si>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</si>
  <si>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</si>
  <si>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</si>
  <si>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</si>
  <si>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</si>
  <si>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</si>
  <si>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</si>
  <si>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</si>
  <si>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</si>
  <si>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</si>
  <si>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</si>
  <si>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</si>
  <si>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</si>
  <si>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</si>
  <si>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</si>
  <si>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</si>
  <si>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</si>
  <si>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</si>
  <si>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</si>
  <si>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</si>
  <si>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</si>
  <si>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</si>
  <si>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</si>
  <si>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</si>
  <si>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</si>
  <si>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</si>
  <si>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</si>
  <si>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</si>
  <si>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</si>
  <si>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</si>
  <si>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</si>
  <si>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</si>
  <si>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</si>
  <si>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</si>
  <si>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</si>
  <si>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</si>
  <si>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</si>
  <si>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</si>
  <si>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</si>
  <si>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</si>
  <si>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</si>
  <si>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</si>
  <si>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</si>
  <si>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</si>
  <si>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</si>
  <si>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</si>
  <si>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</si>
  <si>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</si>
  <si>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</si>
  <si>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</si>
  <si>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</si>
  <si>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</si>
  <si>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</si>
  <si>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</si>
  <si>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</si>
  <si>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</si>
  <si>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</si>
  <si>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</si>
  <si>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</si>
  <si>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</si>
  <si>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</si>
  <si>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</si>
  <si>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</si>
  <si>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</si>
  <si>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</si>
  <si>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</si>
  <si>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</si>
  <si>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</si>
  <si>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</si>
  <si>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</si>
  <si>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</si>
  <si>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</si>
  <si>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</si>
  <si>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</si>
  <si>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</si>
  <si>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</si>
  <si>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</si>
  <si>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</si>
  <si>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</si>
  <si>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</si>
  <si>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</si>
  <si>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</si>
  <si>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</si>
  <si>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</si>
  <si>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</si>
  <si>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</si>
  <si>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</si>
  <si>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</si>
  <si>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</si>
  <si>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</si>
  <si>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</si>
  <si>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</si>
  <si>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</si>
  <si>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</si>
  <si>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</si>
  <si>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</si>
  <si>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</si>
  <si>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</si>
  <si>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</si>
  <si>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</si>
  <si>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</si>
  <si>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</si>
  <si>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</si>
  <si>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</si>
  <si>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</si>
  <si>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</si>
  <si>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</si>
  <si>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</si>
  <si>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</si>
  <si>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</si>
  <si>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</si>
  <si>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</si>
  <si>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</si>
  <si>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</si>
  <si>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</si>
  <si>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</si>
  <si>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</si>
  <si>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</si>
  <si>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</si>
  <si>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</si>
  <si>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</si>
  <si>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</si>
  <si>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</si>
  <si>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Count of Person Name</t>
  </si>
  <si>
    <t>Sum of Finalworth</t>
  </si>
  <si>
    <t>Sum of Age</t>
  </si>
  <si>
    <t>Average of Age</t>
  </si>
  <si>
    <t>Average of Finalworth</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</si>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</sst>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2">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applyNumberFormat="1"/>
    <xf numFmtId="0" fontId="0" fillId="0" borderId="0" xfId="0" pivotButton="1"/>
    <xf numFmtId="2" fontId="0" fillId="0" borderId="0" xfId="0" applyNumberFormat="1"/>
    <xf numFmtId="164" fontId="0" fillId="0" borderId="0" xfId="0" applyNumberFormat="1"/>
    <xf numFmtId="0" fontId="0" fillId="0" borderId="0" xfId="0" applyAlignment="1">
      <alignment horizontal="left"/>
    </xf>
    <xf numFmtId="3" fontId="0" fillId="0" borderId="0" xfId="0" applyNumberFormat="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56">
    <dxf>
      <numFmt numFmtId="3" formatCode="#,##0"/>
    </dxf>
    <dxf>
      <numFmt numFmtId="3" formatCode="#,##0"/>
    </dxf>
    <dxf>
      <numFmt numFmtId="3" formatCode="#,##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1" formatCode="0"/>
    </dxf>
    <dxf>
      <numFmt numFmtId="3"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 formatCode="#,##0"/>
    </dxf>
    <dxf>
      <numFmt numFmtId="3" formatCode="#,##0"/>
    </dxf>
    <dxf>
      <numFmt numFmtId="2" formatCode="0.00"/>
    </dxf>
    <dxf>
      <numFmt numFmtId="2" formatCode="0.00"/>
    </dxf>
    <dxf>
      <numFmt numFmtId="3" formatCode="#,##0"/>
    </dxf>
    <dxf>
      <numFmt numFmtId="164" formatCode="_(* #,##0_);_(* \(#,##0\);_(* &quot;-&quot;??_);_(@_)"/>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fgColor theme="5"/>
          <bgColor theme="5"/>
        </patternFill>
      </fill>
    </dxf>
    <dxf>
      <font>
        <b/>
        <i val="0"/>
        <sz val="12"/>
      </font>
    </dxf>
    <dxf>
      <font>
        <b/>
        <i val="0"/>
        <sz val="12"/>
      </font>
      <border diagonalUp="0" diagonalDown="0">
        <left/>
        <right/>
        <top/>
        <bottom/>
        <vertical/>
        <horizontal/>
      </border>
    </dxf>
  </dxfs>
  <tableStyles count="2" defaultTableStyle="TableStyleMedium2" defaultPivotStyle="PivotStyleLight16">
    <tableStyle name="Billionaires" pivot="0" table="0" count="10" xr9:uid="{29662A76-64B9-4385-8959-F8B42F8A73FB}">
      <tableStyleElement type="wholeTable" dxfId="55"/>
      <tableStyleElement type="headerRow" dxfId="54"/>
    </tableStyle>
    <tableStyle name="Slicer Style 1" pivot="0" table="0" count="1" xr9:uid="{6F7D880C-95A1-4156-A027-20538BF66361}">
      <tableStyleElement type="wholeTable" dxfId="53"/>
    </tableStyle>
  </tableStyles>
  <colors>
    <mruColors>
      <color rgb="FF27277B"/>
      <color rgb="FF202064"/>
      <color rgb="FFCC5D12"/>
    </mruColors>
  </color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[Excel_Billionaires_Dashboard.xlsx]Analysis!PivotTable4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Billionaires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w="28575" cap="rnd">
            <a:solidFill>
              <a:schemeClr val="accent1"/>
            </a:solidFill>
            <a:round/>
          </a:ln>
          <a:effectLst/>
        </c:spPr>
      </c:pivotFmt>
      <c:pivotFmt>
        <c:idx val="2"/>
        <c:spPr>
          <a:solidFill>
            <a:schemeClr val="accent1"/>
          </a:solidFill>
          <a:ln>
            <a:noFill/>
          </a:ln>
          <a:effectLst/>
        </c:spPr>
      </c:pivotFmt>
      <c:pivotFmt>
        <c:idx val="3"/>
        <c:spPr>
          <a:solidFill>
            <a:schemeClr val="accent1"/>
          </a:solidFill>
          <a:ln w="28575" cap="rnd">
            <a:solidFill>
              <a:schemeClr val="accent1"/>
            </a:solidFill>
            <a:round/>
          </a:ln>
          <a:effectLst/>
        </c:spPr>
      </c:pivotFmt>
      <c:pivotFmt>
        <c:idx val="4"/>
        <c:spPr>
          <a:solidFill>
            <a:schemeClr val="accent2"/>
          </a:solidFill>
          <a:ln>
            <a:noFill/>
          </a:ln>
          <a:effectLst/>
        </c:spPr>
        <c:marker>
          <c:symbol val="none"/>
        </c:marker>
      </c:pivotFmt>
      <c:pivotFmt>
        <c:idx val="5"/>
        <c:spPr>
          <a:ln w="28575" cap="rnd">
            <a:solidFill>
              <a:srgbClr val="27277B"/>
            </a:solidFill>
            <a:round/>
          </a:ln>
          <a:effectLst/>
        </c:spPr>
        <c:marker>
          <c:symbol val="none"/>
        </c:marker>
      </c:pivotFmt>
    </c:pivotFmts>
    <c:plotArea>
      <c:layout/>
      <c:barChart>
        <c:barDir val="col"/>
        <c:grouping val="clustered"/>
        <c:varyColors val="0"/>
        <c:ser>
          <c:idx val="0"/>
          <c:order val="0"/>
          <c:tx>
            <c:strRef>
              <c:f>Analysis!$C$6</c:f>
              <c:strCache>
                <c:ptCount val="1"/>
                <c:pt idx="0">
                  <c:v>Sum of Finalworth</c:v>
                </c:pt>
              </c:strCache>
            </c:strRef>
          </c:tx>
          <c:spPr>
            <a:solidFill>
              <a:schemeClr val="accent2"/>
            </a:solidFill>
            <a:ln>
              <a:noFill/>
            </a:ln>
            <a:effectLst/>
          </c:spPr>
          <c:invertIfNegative val="0"/>
          <c:cat>
            <c:strRef>
              <c:f>Analysis!$B$7:$B$16</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Analysis!$C$7:$C$16</c:f>
              <c:numCache>
                <c:formatCode>#,##0</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D16E-4203-A26C-ADE299534344}"/>
            </c:ext>
          </c:extLst>
        </c:ser>
        <c:dLbls>
          <c:showLegendKey val="0"/>
          <c:showVal val="0"/>
          <c:showCatName val="0"/>
          <c:showSerName val="0"/>
          <c:showPercent val="0"/>
          <c:showBubbleSize val="0"/>
        </c:dLbls>
        <c:gapWidth val="90"/>
        <c:overlap val="-27"/>
        <c:axId val="311886768"/>
        <c:axId val="311483856"/>
      </c:barChart>
      <c:lineChart>
        <c:grouping val="standard"/>
        <c:varyColors val="0"/>
        <c:ser>
          <c:idx val="1"/>
          <c:order val="1"/>
          <c:tx>
            <c:strRef>
              <c:f>Analysis!$D$6</c:f>
              <c:strCache>
                <c:ptCount val="1"/>
                <c:pt idx="0">
                  <c:v>Sum of Age</c:v>
                </c:pt>
              </c:strCache>
            </c:strRef>
          </c:tx>
          <c:spPr>
            <a:ln w="28575" cap="rnd">
              <a:solidFill>
                <a:srgbClr val="27277B"/>
              </a:solidFill>
              <a:round/>
            </a:ln>
            <a:effectLst/>
          </c:spPr>
          <c:marker>
            <c:symbol val="none"/>
          </c:marker>
          <c:cat>
            <c:strRef>
              <c:f>Analysis!$B$7:$B$16</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Analysis!$D$7:$D$16</c:f>
              <c:numCache>
                <c:formatCode>General</c:formatCode>
                <c:ptCount val="10"/>
                <c:pt idx="0">
                  <c:v>74</c:v>
                </c:pt>
                <c:pt idx="1">
                  <c:v>51</c:v>
                </c:pt>
                <c:pt idx="2">
                  <c:v>59</c:v>
                </c:pt>
                <c:pt idx="3">
                  <c:v>78</c:v>
                </c:pt>
                <c:pt idx="4">
                  <c:v>92</c:v>
                </c:pt>
                <c:pt idx="5">
                  <c:v>67</c:v>
                </c:pt>
                <c:pt idx="6">
                  <c:v>81</c:v>
                </c:pt>
                <c:pt idx="7">
                  <c:v>83</c:v>
                </c:pt>
                <c:pt idx="8">
                  <c:v>65</c:v>
                </c:pt>
                <c:pt idx="9">
                  <c:v>67</c:v>
                </c:pt>
              </c:numCache>
            </c:numRef>
          </c:val>
          <c:smooth val="0"/>
          <c:extLst>
            <c:ext xmlns:c16="http://schemas.microsoft.com/office/drawing/2014/chart" uri="{C3380CC4-5D6E-409C-BE32-E72D297353CC}">
              <c16:uniqueId val="{00000001-D16E-4203-A26C-ADE299534344}"/>
            </c:ext>
          </c:extLst>
        </c:ser>
        <c:dLbls>
          <c:showLegendKey val="0"/>
          <c:showVal val="0"/>
          <c:showCatName val="0"/>
          <c:showSerName val="0"/>
          <c:showPercent val="0"/>
          <c:showBubbleSize val="0"/>
        </c:dLbls>
        <c:marker val="1"/>
        <c:smooth val="0"/>
        <c:axId val="311887168"/>
        <c:axId val="311480528"/>
      </c:lineChart>
      <c:valAx>
        <c:axId val="31148385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886768"/>
        <c:crosses val="autoZero"/>
        <c:crossBetween val="between"/>
      </c:valAx>
      <c:catAx>
        <c:axId val="311886768"/>
        <c:scaling>
          <c:orientation val="minMax"/>
        </c:scaling>
        <c:delete val="1"/>
        <c:axPos val="b"/>
        <c:numFmt formatCode="General" sourceLinked="1"/>
        <c:majorTickMark val="out"/>
        <c:minorTickMark val="none"/>
        <c:tickLblPos val="nextTo"/>
        <c:crossAx val="311483856"/>
        <c:crosses val="autoZero"/>
        <c:auto val="1"/>
        <c:lblAlgn val="ctr"/>
        <c:lblOffset val="100"/>
        <c:noMultiLvlLbl val="0"/>
      </c:catAx>
      <c:valAx>
        <c:axId val="3114805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887168"/>
        <c:crosses val="max"/>
        <c:crossBetween val="between"/>
      </c:valAx>
      <c:catAx>
        <c:axId val="311887168"/>
        <c:scaling>
          <c:orientation val="minMax"/>
        </c:scaling>
        <c:delete val="1"/>
        <c:axPos val="b"/>
        <c:numFmt formatCode="General" sourceLinked="1"/>
        <c:majorTickMark val="out"/>
        <c:minorTickMark val="none"/>
        <c:tickLblPos val="nextTo"/>
        <c:crossAx val="3114805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[Excel_Billionaires_Dashboard.xlsx]Analysis!PivotTable7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27277B"/>
          </a:solidFill>
          <a:ln>
            <a:noFill/>
          </a:ln>
          <a:effectLst/>
        </c:spPr>
        <c:marker>
          <c:symbol val="none"/>
        </c:marker>
      </c:pivotFmt>
    </c:pivotFmts>
    <c:plotArea>
      <c:layout/>
      <c:barChart>
        <c:barDir val="bar"/>
        <c:grouping val="clustered"/>
        <c:varyColors val="0"/>
        <c:ser>
          <c:idx val="0"/>
          <c:order val="0"/>
          <c:tx>
            <c:strRef>
              <c:f>Analysis!$J$3</c:f>
              <c:strCache>
                <c:ptCount val="1"/>
                <c:pt idx="0">
                  <c:v>Total</c:v>
                </c:pt>
              </c:strCache>
            </c:strRef>
          </c:tx>
          <c:spPr>
            <a:solidFill>
              <a:srgbClr val="27277B"/>
            </a:solidFill>
            <a:ln>
              <a:noFill/>
            </a:ln>
            <a:effectLst/>
          </c:spPr>
          <c:invertIfNegative val="0"/>
          <c:cat>
            <c:strRef>
              <c:f>Analysis!$I$4:$I$21</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Analysis!$J$4:$J$21</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1-2A7D-4A7F-B793-5F543B69AED4}"/>
            </c:ext>
          </c:extLst>
        </c:ser>
        <c:dLbls>
          <c:showLegendKey val="0"/>
          <c:showVal val="0"/>
          <c:showCatName val="0"/>
          <c:showSerName val="0"/>
          <c:showPercent val="0"/>
          <c:showBubbleSize val="0"/>
        </c:dLbls>
        <c:gapWidth val="182"/>
        <c:axId val="1793229712"/>
        <c:axId val="204850208"/>
      </c:barChart>
      <c:catAx>
        <c:axId val="179322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50208"/>
        <c:crosses val="autoZero"/>
        <c:auto val="1"/>
        <c:lblAlgn val="ctr"/>
        <c:lblOffset val="100"/>
        <c:noMultiLvlLbl val="0"/>
      </c:catAx>
      <c:valAx>
        <c:axId val="2048502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229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[Excel_Billionaires_Dashboard.xlsx]Analysis!PivotTable6</c:name>
    <c:fmtId val="10"/>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Analysis!$G$19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C05-4DDD-8025-93E25B9CAB4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C05-4DDD-8025-93E25B9CAB4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Analysis!$F$20:$F$21</c:f>
              <c:strCache>
                <c:ptCount val="2"/>
                <c:pt idx="0">
                  <c:v>False</c:v>
                </c:pt>
                <c:pt idx="1">
                  <c:v>True</c:v>
                </c:pt>
              </c:strCache>
            </c:strRef>
          </c:cat>
          <c:val>
            <c:numRef>
              <c:f>Analysis!$G$20:$G$21</c:f>
              <c:numCache>
                <c:formatCode>#,##0</c:formatCode>
                <c:ptCount val="2"/>
                <c:pt idx="0">
                  <c:v>2459700</c:v>
                </c:pt>
                <c:pt idx="1">
                  <c:v>4580700</c:v>
                </c:pt>
              </c:numCache>
            </c:numRef>
          </c:val>
          <c:extLst>
            <c:ext xmlns:c16="http://schemas.microsoft.com/office/drawing/2014/chart" uri="{C3380CC4-5D6E-409C-BE32-E72D297353CC}">
              <c16:uniqueId val="{00000005-129E-45AB-BCE2-568B62181E0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[Excel_Billionaires_Dashboard.xlsx]Analysis!PivotTable5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c:spPr>
        <c:marker>
          <c:symbol val="none"/>
        </c:marker>
      </c:pivotFmt>
    </c:pivotFmts>
    <c:plotArea>
      <c:layout>
        <c:manualLayout>
          <c:layoutTarget val="inner"/>
          <c:xMode val="edge"/>
          <c:yMode val="edge"/>
          <c:x val="0.36679688065205912"/>
          <c:y val="0.11304574464634813"/>
          <c:w val="0.40907041740443401"/>
          <c:h val="0.73212964819054516"/>
        </c:manualLayout>
      </c:layout>
      <c:barChart>
        <c:barDir val="bar"/>
        <c:grouping val="stacked"/>
        <c:varyColors val="0"/>
        <c:ser>
          <c:idx val="0"/>
          <c:order val="0"/>
          <c:tx>
            <c:strRef>
              <c:f>Analysis!$G$6</c:f>
              <c:strCache>
                <c:ptCount val="1"/>
                <c:pt idx="0">
                  <c:v>Total</c:v>
                </c:pt>
              </c:strCache>
            </c:strRef>
          </c:tx>
          <c:spPr>
            <a:solidFill>
              <a:schemeClr val="accent1">
                <a:lumMod val="75000"/>
              </a:schemeClr>
            </a:solidFill>
            <a:ln>
              <a:noFill/>
            </a:ln>
            <a:effectLst/>
          </c:spPr>
          <c:invertIfNegative val="0"/>
          <c:dLbls>
            <c:delete val="1"/>
          </c:dLbls>
          <c:cat>
            <c:strRef>
              <c:f>Analysis!$F$7:$F$16</c:f>
              <c:strCache>
                <c:ptCount val="10"/>
                <c:pt idx="0">
                  <c:v>Australia</c:v>
                </c:pt>
                <c:pt idx="1">
                  <c:v>Mexico</c:v>
                </c:pt>
                <c:pt idx="2">
                  <c:v>Russia</c:v>
                </c:pt>
                <c:pt idx="3">
                  <c:v>United Kingdom</c:v>
                </c:pt>
                <c:pt idx="4">
                  <c:v>Switzerland</c:v>
                </c:pt>
                <c:pt idx="5">
                  <c:v>Germany</c:v>
                </c:pt>
                <c:pt idx="6">
                  <c:v>India</c:v>
                </c:pt>
                <c:pt idx="7">
                  <c:v>France</c:v>
                </c:pt>
                <c:pt idx="8">
                  <c:v>China</c:v>
                </c:pt>
                <c:pt idx="9">
                  <c:v>United States</c:v>
                </c:pt>
              </c:strCache>
            </c:strRef>
          </c:cat>
          <c:val>
            <c:numRef>
              <c:f>Analysis!$G$7:$G$16</c:f>
              <c:numCache>
                <c:formatCode>#,##0</c:formatCode>
                <c:ptCount val="10"/>
                <c:pt idx="0">
                  <c:v>105200</c:v>
                </c:pt>
                <c:pt idx="1">
                  <c:v>136700</c:v>
                </c:pt>
                <c:pt idx="2">
                  <c:v>219900</c:v>
                </c:pt>
                <c:pt idx="3">
                  <c:v>241700</c:v>
                </c:pt>
                <c:pt idx="4">
                  <c:v>244200</c:v>
                </c:pt>
                <c:pt idx="5">
                  <c:v>256200</c:v>
                </c:pt>
                <c:pt idx="6">
                  <c:v>333200</c:v>
                </c:pt>
                <c:pt idx="7">
                  <c:v>451600</c:v>
                </c:pt>
                <c:pt idx="8">
                  <c:v>901700</c:v>
                </c:pt>
                <c:pt idx="9">
                  <c:v>3145000</c:v>
                </c:pt>
              </c:numCache>
            </c:numRef>
          </c:val>
          <c:extLst>
            <c:ext xmlns:c16="http://schemas.microsoft.com/office/drawing/2014/chart" uri="{C3380CC4-5D6E-409C-BE32-E72D297353CC}">
              <c16:uniqueId val="{00000000-48B9-4748-84EF-A1EF6FD32D74}"/>
            </c:ext>
          </c:extLst>
        </c:ser>
        <c:dLbls>
          <c:dLblPos val="ctr"/>
          <c:showLegendKey val="0"/>
          <c:showVal val="1"/>
          <c:showCatName val="0"/>
          <c:showSerName val="0"/>
          <c:showPercent val="0"/>
          <c:showBubbleSize val="0"/>
        </c:dLbls>
        <c:gapWidth val="150"/>
        <c:overlap val="100"/>
        <c:axId val="715043984"/>
        <c:axId val="710688352"/>
      </c:barChart>
      <c:catAx>
        <c:axId val="715043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88352"/>
        <c:crosses val="autoZero"/>
        <c:auto val="1"/>
        <c:lblAlgn val="ctr"/>
        <c:lblOffset val="100"/>
        <c:noMultiLvlLbl val="0"/>
      </c:catAx>
      <c:valAx>
        <c:axId val="71068835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04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Analysis!A1"/><Relationship Id="rId7" Type="http://schemas.openxmlformats.org/officeDocument/2006/relationships/image" Target="../media/image2.svg"/><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1.png"/><Relationship Id="rId5" Type="http://schemas.openxmlformats.org/officeDocument/2006/relationships/chart" Target="../charts/chart1.xml"/><Relationship Id="rId10" Type="http://schemas.openxmlformats.org/officeDocument/2006/relationships/chart" Target="../charts/chart4.xml"/><Relationship Id="rId4" Type="http://schemas.openxmlformats.org/officeDocument/2006/relationships/hyperlink" Target="mailto:workemail.address.com" TargetMode="External"/><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mailto:workemail.address.com"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9202</xdr:colOff>
      <xdr:row>11</xdr:row>
      <xdr:rowOff>174855</xdr:rowOff>
    </xdr:from>
    <xdr:to>
      <xdr:col>14</xdr:col>
      <xdr:colOff>1518478</xdr:colOff>
      <xdr:row>28</xdr:row>
      <xdr:rowOff>38176</xdr:rowOff>
    </xdr:to>
    <xdr:sp macro="" textlink="">
      <xdr:nvSpPr>
        <xdr:cNvPr id="36" name="Rectangle: Rounded Corners 35">
          <a:extLst>
            <a:ext uri="{FF2B5EF4-FFF2-40B4-BE49-F238E27FC236}">
              <a16:creationId xmlns:a16="http://schemas.microsoft.com/office/drawing/2014/main" id="{D9783641-CA48-4197-9C97-060FBC1BDD08}"/>
            </a:ext>
          </a:extLst>
        </xdr:cNvPr>
        <xdr:cNvSpPr/>
      </xdr:nvSpPr>
      <xdr:spPr>
        <a:xfrm>
          <a:off x="9847101" y="2199493"/>
          <a:ext cx="2116667" cy="2992306"/>
        </a:xfrm>
        <a:prstGeom prst="roundRect">
          <a:avLst>
            <a:gd name="adj" fmla="val 518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134186</xdr:colOff>
      <xdr:row>1</xdr:row>
      <xdr:rowOff>16933</xdr:rowOff>
    </xdr:from>
    <xdr:to>
      <xdr:col>11</xdr:col>
      <xdr:colOff>423333</xdr:colOff>
      <xdr:row>10</xdr:row>
      <xdr:rowOff>152400</xdr:rowOff>
    </xdr:to>
    <xdr:sp macro="" textlink="">
      <xdr:nvSpPr>
        <xdr:cNvPr id="53" name="Rectangle: Rounded Corners 52">
          <a:extLst>
            <a:ext uri="{FF2B5EF4-FFF2-40B4-BE49-F238E27FC236}">
              <a16:creationId xmlns:a16="http://schemas.microsoft.com/office/drawing/2014/main" id="{E219F5CA-E7C1-45B7-9521-E0BF625485EE}"/>
            </a:ext>
          </a:extLst>
        </xdr:cNvPr>
        <xdr:cNvSpPr/>
      </xdr:nvSpPr>
      <xdr:spPr>
        <a:xfrm>
          <a:off x="7128389" y="200991"/>
          <a:ext cx="2525451" cy="1791989"/>
        </a:xfrm>
        <a:prstGeom prst="roundRect">
          <a:avLst>
            <a:gd name="adj" fmla="val 518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0</xdr:row>
      <xdr:rowOff>0</xdr:rowOff>
    </xdr:from>
    <xdr:to>
      <xdr:col>0</xdr:col>
      <xdr:colOff>1555750</xdr:colOff>
      <xdr:row>31</xdr:row>
      <xdr:rowOff>18405</xdr:rowOff>
    </xdr:to>
    <xdr:sp macro="" textlink="">
      <xdr:nvSpPr>
        <xdr:cNvPr id="2" name="Rectangle 1">
          <a:extLst>
            <a:ext uri="{FF2B5EF4-FFF2-40B4-BE49-F238E27FC236}">
              <a16:creationId xmlns:a16="http://schemas.microsoft.com/office/drawing/2014/main" id="{4D434F1D-9661-4485-86DC-3488CA2B211F}"/>
            </a:ext>
          </a:extLst>
        </xdr:cNvPr>
        <xdr:cNvSpPr/>
      </xdr:nvSpPr>
      <xdr:spPr>
        <a:xfrm>
          <a:off x="0" y="0"/>
          <a:ext cx="1555750" cy="5724202"/>
        </a:xfrm>
        <a:prstGeom prst="rect">
          <a:avLst/>
        </a:prstGeom>
        <a:gradFill flip="none" rotWithShape="1">
          <a:gsLst>
            <a:gs pos="28000">
              <a:schemeClr val="accent1">
                <a:lumMod val="75000"/>
              </a:schemeClr>
            </a:gs>
            <a:gs pos="50500">
              <a:srgbClr val="2E5292"/>
            </a:gs>
            <a:gs pos="73000">
              <a:schemeClr val="accent1">
                <a:lumMod val="50000"/>
              </a:schemeClr>
            </a:gs>
          </a:gsLst>
          <a:path path="circle">
            <a:fillToRect l="50000" t="50000" r="50000" b="50000"/>
          </a:path>
          <a:tileRect/>
        </a:gradFill>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1673176</xdr:colOff>
      <xdr:row>0</xdr:row>
      <xdr:rowOff>110873</xdr:rowOff>
    </xdr:from>
    <xdr:to>
      <xdr:col>7</xdr:col>
      <xdr:colOff>708840</xdr:colOff>
      <xdr:row>5</xdr:row>
      <xdr:rowOff>120951</xdr:rowOff>
    </xdr:to>
    <xdr:sp macro="" textlink="">
      <xdr:nvSpPr>
        <xdr:cNvPr id="3" name="Rectangle: Rounded Corners 2">
          <a:extLst>
            <a:ext uri="{FF2B5EF4-FFF2-40B4-BE49-F238E27FC236}">
              <a16:creationId xmlns:a16="http://schemas.microsoft.com/office/drawing/2014/main" id="{8D48025B-9B55-4ED4-96F7-3CA237343C08}"/>
            </a:ext>
          </a:extLst>
        </xdr:cNvPr>
        <xdr:cNvSpPr/>
      </xdr:nvSpPr>
      <xdr:spPr>
        <a:xfrm>
          <a:off x="1673176" y="110873"/>
          <a:ext cx="5284064" cy="941411"/>
        </a:xfrm>
        <a:prstGeom prst="roundRect">
          <a:avLst/>
        </a:prstGeom>
        <a:gradFill flip="none" rotWithShape="1">
          <a:gsLst>
            <a:gs pos="28000">
              <a:schemeClr val="accent1">
                <a:lumMod val="75000"/>
              </a:schemeClr>
            </a:gs>
            <a:gs pos="50500">
              <a:srgbClr val="2E5292"/>
            </a:gs>
            <a:gs pos="73000">
              <a:schemeClr val="accent1">
                <a:lumMod val="50000"/>
              </a:schemeClr>
            </a:gs>
          </a:gsLst>
          <a:path path="circle">
            <a:fillToRect l="50000" t="50000" r="50000" b="50000"/>
          </a:path>
          <a:tileRect/>
        </a:gradFill>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1700698</xdr:colOff>
      <xdr:row>11</xdr:row>
      <xdr:rowOff>171349</xdr:rowOff>
    </xdr:from>
    <xdr:to>
      <xdr:col>7</xdr:col>
      <xdr:colOff>728133</xdr:colOff>
      <xdr:row>28</xdr:row>
      <xdr:rowOff>100794</xdr:rowOff>
    </xdr:to>
    <xdr:sp macro="" textlink="">
      <xdr:nvSpPr>
        <xdr:cNvPr id="14" name="Rectangle: Rounded Corners 13">
          <a:extLst>
            <a:ext uri="{FF2B5EF4-FFF2-40B4-BE49-F238E27FC236}">
              <a16:creationId xmlns:a16="http://schemas.microsoft.com/office/drawing/2014/main" id="{63BDF2C8-5504-48FE-9A40-FEAC844D59C2}"/>
            </a:ext>
          </a:extLst>
        </xdr:cNvPr>
        <xdr:cNvSpPr/>
      </xdr:nvSpPr>
      <xdr:spPr>
        <a:xfrm>
          <a:off x="1700698" y="2220282"/>
          <a:ext cx="5275835" cy="3095979"/>
        </a:xfrm>
        <a:prstGeom prst="roundRect">
          <a:avLst>
            <a:gd name="adj" fmla="val 599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160967</xdr:colOff>
      <xdr:row>1</xdr:row>
      <xdr:rowOff>3959</xdr:rowOff>
    </xdr:from>
    <xdr:to>
      <xdr:col>8</xdr:col>
      <xdr:colOff>131032</xdr:colOff>
      <xdr:row>5</xdr:row>
      <xdr:rowOff>106609</xdr:rowOff>
    </xdr:to>
    <xdr:sp macro="" textlink="">
      <xdr:nvSpPr>
        <xdr:cNvPr id="27" name="TextBox 26">
          <a:extLst>
            <a:ext uri="{FF2B5EF4-FFF2-40B4-BE49-F238E27FC236}">
              <a16:creationId xmlns:a16="http://schemas.microsoft.com/office/drawing/2014/main" id="{2CB47BA5-9B76-41B2-95B0-AE7075B7536B}"/>
            </a:ext>
          </a:extLst>
        </xdr:cNvPr>
        <xdr:cNvSpPr txBox="1"/>
      </xdr:nvSpPr>
      <xdr:spPr>
        <a:xfrm>
          <a:off x="1938967" y="190226"/>
          <a:ext cx="5185532" cy="847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1">
              <a:solidFill>
                <a:schemeClr val="bg1"/>
              </a:solidFill>
            </a:rPr>
            <a:t>The Billionaires Dashboard 2025</a:t>
          </a:r>
        </a:p>
        <a:p>
          <a:r>
            <a:rPr lang="en-US" sz="1400" i="1">
              <a:solidFill>
                <a:schemeClr val="bg1"/>
              </a:solidFill>
            </a:rPr>
            <a:t>Figures in millions of USD</a:t>
          </a:r>
        </a:p>
      </xdr:txBody>
    </xdr:sp>
    <xdr:clientData/>
  </xdr:twoCellAnchor>
  <xdr:twoCellAnchor>
    <xdr:from>
      <xdr:col>0</xdr:col>
      <xdr:colOff>82550</xdr:colOff>
      <xdr:row>5</xdr:row>
      <xdr:rowOff>124199</xdr:rowOff>
    </xdr:from>
    <xdr:to>
      <xdr:col>0</xdr:col>
      <xdr:colOff>1328994</xdr:colOff>
      <xdr:row>7</xdr:row>
      <xdr:rowOff>110577</xdr:rowOff>
    </xdr:to>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ED310DAB-CA20-4D27-A131-785CE8A92486}"/>
            </a:ext>
          </a:extLst>
        </xdr:cNvPr>
        <xdr:cNvSpPr/>
      </xdr:nvSpPr>
      <xdr:spPr>
        <a:xfrm>
          <a:off x="82550" y="1031342"/>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r>
            <a:rPr lang="en-US" sz="1100" b="1" i="0">
              <a:solidFill>
                <a:schemeClr val="lt1"/>
              </a:solidFill>
              <a:effectLst/>
              <a:latin typeface="+mn-lt"/>
              <a:ea typeface="+mn-ea"/>
              <a:cs typeface="+mn-cs"/>
            </a:rPr>
            <a:t>Dashboard</a:t>
          </a:r>
          <a:endParaRPr lang="en-US" sz="1100">
            <a:solidFill>
              <a:schemeClr val="lt1"/>
            </a:solidFill>
            <a:latin typeface="+mn-lt"/>
            <a:ea typeface="+mn-ea"/>
            <a:cs typeface="+mn-cs"/>
          </a:endParaRPr>
        </a:p>
      </xdr:txBody>
    </xdr:sp>
    <xdr:clientData/>
  </xdr:twoCellAnchor>
  <xdr:twoCellAnchor>
    <xdr:from>
      <xdr:col>0</xdr:col>
      <xdr:colOff>82550</xdr:colOff>
      <xdr:row>8</xdr:row>
      <xdr:rowOff>33787</xdr:rowOff>
    </xdr:from>
    <xdr:to>
      <xdr:col>0</xdr:col>
      <xdr:colOff>1328994</xdr:colOff>
      <xdr:row>10</xdr:row>
      <xdr:rowOff>20165</xdr:rowOff>
    </xdr:to>
    <xdr:sp macro="" textlink="">
      <xdr:nvSpPr>
        <xdr:cNvPr id="21" name="Rectangle: Rounded Corners 20">
          <a:hlinkClick xmlns:r="http://schemas.openxmlformats.org/officeDocument/2006/relationships" r:id="rId2"/>
          <a:extLst>
            <a:ext uri="{FF2B5EF4-FFF2-40B4-BE49-F238E27FC236}">
              <a16:creationId xmlns:a16="http://schemas.microsoft.com/office/drawing/2014/main" id="{5F7C8324-DAD3-471F-A54A-AFE83BEE25E9}"/>
            </a:ext>
          </a:extLst>
        </xdr:cNvPr>
        <xdr:cNvSpPr/>
      </xdr:nvSpPr>
      <xdr:spPr>
        <a:xfrm>
          <a:off x="82550" y="1485216"/>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latin typeface="+mn-lt"/>
              <a:ea typeface="+mn-ea"/>
              <a:cs typeface="+mn-cs"/>
            </a:rPr>
            <a:t>Dataset</a:t>
          </a:r>
          <a:endParaRPr lang="en-US">
            <a:effectLst/>
          </a:endParaRPr>
        </a:p>
      </xdr:txBody>
    </xdr:sp>
    <xdr:clientData/>
  </xdr:twoCellAnchor>
  <xdr:twoCellAnchor>
    <xdr:from>
      <xdr:col>0</xdr:col>
      <xdr:colOff>82550</xdr:colOff>
      <xdr:row>10</xdr:row>
      <xdr:rowOff>122083</xdr:rowOff>
    </xdr:from>
    <xdr:to>
      <xdr:col>0</xdr:col>
      <xdr:colOff>1328994</xdr:colOff>
      <xdr:row>12</xdr:row>
      <xdr:rowOff>108461</xdr:rowOff>
    </xdr:to>
    <xdr:sp macro="" textlink="">
      <xdr:nvSpPr>
        <xdr:cNvPr id="24" name="Rectangle: Rounded Corners 23">
          <a:hlinkClick xmlns:r="http://schemas.openxmlformats.org/officeDocument/2006/relationships" r:id="rId3"/>
          <a:extLst>
            <a:ext uri="{FF2B5EF4-FFF2-40B4-BE49-F238E27FC236}">
              <a16:creationId xmlns:a16="http://schemas.microsoft.com/office/drawing/2014/main" id="{C7DD579A-9157-4539-AD15-408E1329E9A3}"/>
            </a:ext>
          </a:extLst>
        </xdr:cNvPr>
        <xdr:cNvSpPr/>
      </xdr:nvSpPr>
      <xdr:spPr>
        <a:xfrm>
          <a:off x="82550" y="1936369"/>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latin typeface="+mn-lt"/>
              <a:ea typeface="+mn-ea"/>
              <a:cs typeface="+mn-cs"/>
            </a:rPr>
            <a:t>Analysis</a:t>
          </a:r>
          <a:endParaRPr lang="en-US" sz="1100">
            <a:solidFill>
              <a:schemeClr val="lt1"/>
            </a:solidFill>
            <a:latin typeface="+mn-lt"/>
            <a:ea typeface="+mn-ea"/>
            <a:cs typeface="+mn-cs"/>
          </a:endParaRPr>
        </a:p>
      </xdr:txBody>
    </xdr:sp>
    <xdr:clientData/>
  </xdr:twoCellAnchor>
  <xdr:twoCellAnchor>
    <xdr:from>
      <xdr:col>0</xdr:col>
      <xdr:colOff>82550</xdr:colOff>
      <xdr:row>13</xdr:row>
      <xdr:rowOff>31671</xdr:rowOff>
    </xdr:from>
    <xdr:to>
      <xdr:col>0</xdr:col>
      <xdr:colOff>1328994</xdr:colOff>
      <xdr:row>15</xdr:row>
      <xdr:rowOff>18048</xdr:rowOff>
    </xdr:to>
    <xdr:sp macro="" textlink="">
      <xdr:nvSpPr>
        <xdr:cNvPr id="26" name="Rectangle: Rounded Corners 25">
          <a:hlinkClick xmlns:r="http://schemas.openxmlformats.org/officeDocument/2006/relationships" r:id="rId4"/>
          <a:extLst>
            <a:ext uri="{FF2B5EF4-FFF2-40B4-BE49-F238E27FC236}">
              <a16:creationId xmlns:a16="http://schemas.microsoft.com/office/drawing/2014/main" id="{EF8BF572-F121-43F1-8503-05E00194E9A7}"/>
            </a:ext>
          </a:extLst>
        </xdr:cNvPr>
        <xdr:cNvSpPr/>
      </xdr:nvSpPr>
      <xdr:spPr>
        <a:xfrm>
          <a:off x="82550" y="2390242"/>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latin typeface="+mn-lt"/>
              <a:ea typeface="+mn-ea"/>
              <a:cs typeface="+mn-cs"/>
            </a:rPr>
            <a:t>Contact</a:t>
          </a:r>
          <a:endParaRPr lang="en-US">
            <a:effectLst/>
          </a:endParaRPr>
        </a:p>
        <a:p>
          <a:pPr marL="0" indent="0" algn="l"/>
          <a:endParaRPr lang="en-US" sz="1100">
            <a:solidFill>
              <a:schemeClr val="lt1"/>
            </a:solidFill>
            <a:latin typeface="+mn-lt"/>
            <a:ea typeface="+mn-ea"/>
            <a:cs typeface="+mn-cs"/>
          </a:endParaRPr>
        </a:p>
      </xdr:txBody>
    </xdr:sp>
    <xdr:clientData/>
  </xdr:twoCellAnchor>
  <xdr:twoCellAnchor>
    <xdr:from>
      <xdr:col>0</xdr:col>
      <xdr:colOff>1453325</xdr:colOff>
      <xdr:row>6</xdr:row>
      <xdr:rowOff>77435</xdr:rowOff>
    </xdr:from>
    <xdr:to>
      <xdr:col>3</xdr:col>
      <xdr:colOff>110873</xdr:colOff>
      <xdr:row>10</xdr:row>
      <xdr:rowOff>122379</xdr:rowOff>
    </xdr:to>
    <xdr:grpSp>
      <xdr:nvGrpSpPr>
        <xdr:cNvPr id="45" name="Group 44">
          <a:extLst>
            <a:ext uri="{FF2B5EF4-FFF2-40B4-BE49-F238E27FC236}">
              <a16:creationId xmlns:a16="http://schemas.microsoft.com/office/drawing/2014/main" id="{D5C8910E-442F-4255-83DA-031A57DE0106}"/>
            </a:ext>
          </a:extLst>
        </xdr:cNvPr>
        <xdr:cNvGrpSpPr/>
      </xdr:nvGrpSpPr>
      <xdr:grpSpPr>
        <a:xfrm>
          <a:off x="1453325" y="1181783"/>
          <a:ext cx="1924577" cy="781176"/>
          <a:chOff x="1453325" y="1014815"/>
          <a:chExt cx="1923262" cy="770659"/>
        </a:xfrm>
      </xdr:grpSpPr>
      <xdr:sp macro="" textlink="">
        <xdr:nvSpPr>
          <xdr:cNvPr id="6" name="Rectangle: Rounded Corners 5">
            <a:extLst>
              <a:ext uri="{FF2B5EF4-FFF2-40B4-BE49-F238E27FC236}">
                <a16:creationId xmlns:a16="http://schemas.microsoft.com/office/drawing/2014/main" id="{16949B17-EFB0-4BF9-8114-C7596026371F}"/>
              </a:ext>
            </a:extLst>
          </xdr:cNvPr>
          <xdr:cNvSpPr/>
        </xdr:nvSpPr>
        <xdr:spPr>
          <a:xfrm>
            <a:off x="1674967" y="1014815"/>
            <a:ext cx="1610906" cy="770659"/>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8" name="TextBox 27">
            <a:extLst>
              <a:ext uri="{FF2B5EF4-FFF2-40B4-BE49-F238E27FC236}">
                <a16:creationId xmlns:a16="http://schemas.microsoft.com/office/drawing/2014/main" id="{90413B19-06B7-40CB-A68B-0940FAE3AA9C}"/>
              </a:ext>
            </a:extLst>
          </xdr:cNvPr>
          <xdr:cNvSpPr txBox="1"/>
        </xdr:nvSpPr>
        <xdr:spPr>
          <a:xfrm>
            <a:off x="1523880" y="1082544"/>
            <a:ext cx="1852707" cy="22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Average Net</a:t>
            </a:r>
            <a:r>
              <a:rPr lang="en-US" sz="1200" b="1" baseline="0">
                <a:solidFill>
                  <a:schemeClr val="bg1"/>
                </a:solidFill>
              </a:rPr>
              <a:t> Worth</a:t>
            </a:r>
            <a:endParaRPr lang="en-US" sz="1200" i="1">
              <a:solidFill>
                <a:schemeClr val="bg1"/>
              </a:solidFill>
            </a:endParaRPr>
          </a:p>
        </xdr:txBody>
      </xdr:sp>
      <xdr:sp macro="" textlink="Networth">
        <xdr:nvSpPr>
          <xdr:cNvPr id="39" name="TextBox 38">
            <a:extLst>
              <a:ext uri="{FF2B5EF4-FFF2-40B4-BE49-F238E27FC236}">
                <a16:creationId xmlns:a16="http://schemas.microsoft.com/office/drawing/2014/main" id="{AAD3E5EE-338D-4468-983E-FC0622F76528}"/>
              </a:ext>
            </a:extLst>
          </xdr:cNvPr>
          <xdr:cNvSpPr txBox="1"/>
        </xdr:nvSpPr>
        <xdr:spPr>
          <a:xfrm>
            <a:off x="1453325" y="1286726"/>
            <a:ext cx="1852707" cy="362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038066-589E-4539-B1BC-9E47966BB182}" type="TxLink">
              <a:rPr lang="en-US" sz="2800" b="1" i="0" u="none" strike="noStrike">
                <a:solidFill>
                  <a:schemeClr val="bg1"/>
                </a:solidFill>
                <a:latin typeface="Calibri"/>
                <a:cs typeface="Calibri"/>
              </a:rPr>
              <a:pPr algn="ctr"/>
              <a:t> 14,822 </a:t>
            </a:fld>
            <a:endParaRPr lang="en-US" sz="2800" b="1" i="1">
              <a:solidFill>
                <a:schemeClr val="bg1"/>
              </a:solidFill>
            </a:endParaRPr>
          </a:p>
        </xdr:txBody>
      </xdr:sp>
    </xdr:grpSp>
    <xdr:clientData/>
  </xdr:twoCellAnchor>
  <xdr:twoCellAnchor>
    <xdr:from>
      <xdr:col>3</xdr:col>
      <xdr:colOff>262870</xdr:colOff>
      <xdr:row>6</xdr:row>
      <xdr:rowOff>77435</xdr:rowOff>
    </xdr:from>
    <xdr:to>
      <xdr:col>5</xdr:col>
      <xdr:colOff>362188</xdr:colOff>
      <xdr:row>10</xdr:row>
      <xdr:rowOff>122379</xdr:rowOff>
    </xdr:to>
    <xdr:grpSp>
      <xdr:nvGrpSpPr>
        <xdr:cNvPr id="44" name="Group 43">
          <a:extLst>
            <a:ext uri="{FF2B5EF4-FFF2-40B4-BE49-F238E27FC236}">
              <a16:creationId xmlns:a16="http://schemas.microsoft.com/office/drawing/2014/main" id="{8090211E-605E-4EC7-97FB-AB1F8972ACE6}"/>
            </a:ext>
          </a:extLst>
        </xdr:cNvPr>
        <xdr:cNvGrpSpPr/>
      </xdr:nvGrpSpPr>
      <xdr:grpSpPr>
        <a:xfrm>
          <a:off x="3529899" y="1181783"/>
          <a:ext cx="1590188" cy="781176"/>
          <a:chOff x="3362896" y="1014815"/>
          <a:chExt cx="1591064" cy="770659"/>
        </a:xfrm>
      </xdr:grpSpPr>
      <xdr:sp macro="" textlink="">
        <xdr:nvSpPr>
          <xdr:cNvPr id="8" name="Rectangle: Rounded Corners 7">
            <a:extLst>
              <a:ext uri="{FF2B5EF4-FFF2-40B4-BE49-F238E27FC236}">
                <a16:creationId xmlns:a16="http://schemas.microsoft.com/office/drawing/2014/main" id="{C8AE68DB-0C02-448B-8F8D-85A98F0752C8}"/>
              </a:ext>
            </a:extLst>
          </xdr:cNvPr>
          <xdr:cNvSpPr/>
        </xdr:nvSpPr>
        <xdr:spPr>
          <a:xfrm>
            <a:off x="3362896" y="1014815"/>
            <a:ext cx="1591064" cy="770659"/>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9" name="TextBox 28">
            <a:extLst>
              <a:ext uri="{FF2B5EF4-FFF2-40B4-BE49-F238E27FC236}">
                <a16:creationId xmlns:a16="http://schemas.microsoft.com/office/drawing/2014/main" id="{F8D5360A-EC13-428C-8F7F-B63B77093636}"/>
              </a:ext>
            </a:extLst>
          </xdr:cNvPr>
          <xdr:cNvSpPr txBox="1"/>
        </xdr:nvSpPr>
        <xdr:spPr>
          <a:xfrm>
            <a:off x="3394344" y="1082544"/>
            <a:ext cx="1500643" cy="24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Average Age</a:t>
            </a:r>
            <a:endParaRPr lang="en-US" sz="1200" i="1">
              <a:solidFill>
                <a:schemeClr val="bg1"/>
              </a:solidFill>
            </a:endParaRPr>
          </a:p>
        </xdr:txBody>
      </xdr:sp>
      <xdr:sp macro="" textlink="age">
        <xdr:nvSpPr>
          <xdr:cNvPr id="40" name="TextBox 39">
            <a:extLst>
              <a:ext uri="{FF2B5EF4-FFF2-40B4-BE49-F238E27FC236}">
                <a16:creationId xmlns:a16="http://schemas.microsoft.com/office/drawing/2014/main" id="{0A46035F-11F6-4104-9227-94E4D36B6676}"/>
              </a:ext>
            </a:extLst>
          </xdr:cNvPr>
          <xdr:cNvSpPr txBox="1"/>
        </xdr:nvSpPr>
        <xdr:spPr>
          <a:xfrm>
            <a:off x="3394344" y="1281143"/>
            <a:ext cx="1500643" cy="384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8F1E3D-A8F3-4C50-8418-0C79A076AC03}" type="TxLink">
              <a:rPr lang="en-US" sz="2800" b="1" i="0" u="none" strike="noStrike">
                <a:solidFill>
                  <a:schemeClr val="bg1"/>
                </a:solidFill>
                <a:latin typeface="Calibri"/>
                <a:cs typeface="Calibri"/>
              </a:rPr>
              <a:pPr algn="ctr"/>
              <a:t>67.24</a:t>
            </a:fld>
            <a:endParaRPr lang="en-US" sz="2800" b="1" i="1">
              <a:solidFill>
                <a:schemeClr val="bg1"/>
              </a:solidFill>
            </a:endParaRPr>
          </a:p>
        </xdr:txBody>
      </xdr:sp>
    </xdr:grpSp>
    <xdr:clientData/>
  </xdr:twoCellAnchor>
  <xdr:twoCellAnchor>
    <xdr:from>
      <xdr:col>5</xdr:col>
      <xdr:colOff>583796</xdr:colOff>
      <xdr:row>6</xdr:row>
      <xdr:rowOff>77435</xdr:rowOff>
    </xdr:from>
    <xdr:to>
      <xdr:col>7</xdr:col>
      <xdr:colOff>720932</xdr:colOff>
      <xdr:row>10</xdr:row>
      <xdr:rowOff>122379</xdr:rowOff>
    </xdr:to>
    <xdr:grpSp>
      <xdr:nvGrpSpPr>
        <xdr:cNvPr id="43" name="Group 42">
          <a:extLst>
            <a:ext uri="{FF2B5EF4-FFF2-40B4-BE49-F238E27FC236}">
              <a16:creationId xmlns:a16="http://schemas.microsoft.com/office/drawing/2014/main" id="{420AD31F-8A29-4C79-9134-C08FFE91B26E}"/>
            </a:ext>
          </a:extLst>
        </xdr:cNvPr>
        <xdr:cNvGrpSpPr/>
      </xdr:nvGrpSpPr>
      <xdr:grpSpPr>
        <a:xfrm>
          <a:off x="5341695" y="1181783"/>
          <a:ext cx="1628005" cy="781176"/>
          <a:chOff x="5049762" y="1014815"/>
          <a:chExt cx="1628881" cy="770659"/>
        </a:xfrm>
      </xdr:grpSpPr>
      <xdr:sp macro="" textlink="">
        <xdr:nvSpPr>
          <xdr:cNvPr id="9" name="Rectangle: Rounded Corners 8">
            <a:extLst>
              <a:ext uri="{FF2B5EF4-FFF2-40B4-BE49-F238E27FC236}">
                <a16:creationId xmlns:a16="http://schemas.microsoft.com/office/drawing/2014/main" id="{D7F877F5-F828-481D-9035-7A8599E0E022}"/>
              </a:ext>
            </a:extLst>
          </xdr:cNvPr>
          <xdr:cNvSpPr/>
        </xdr:nvSpPr>
        <xdr:spPr>
          <a:xfrm>
            <a:off x="5049762" y="1014815"/>
            <a:ext cx="1628881" cy="770659"/>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0" name="TextBox 29">
            <a:extLst>
              <a:ext uri="{FF2B5EF4-FFF2-40B4-BE49-F238E27FC236}">
                <a16:creationId xmlns:a16="http://schemas.microsoft.com/office/drawing/2014/main" id="{04AE509F-9385-4B56-B71D-886E75537714}"/>
              </a:ext>
            </a:extLst>
          </xdr:cNvPr>
          <xdr:cNvSpPr txBox="1"/>
        </xdr:nvSpPr>
        <xdr:spPr>
          <a:xfrm>
            <a:off x="5138222" y="1082544"/>
            <a:ext cx="1500643" cy="24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a:solidFill>
                  <a:schemeClr val="bg1"/>
                </a:solidFill>
              </a:rPr>
              <a:t>Billionaire</a:t>
            </a:r>
            <a:r>
              <a:rPr lang="en-US" sz="1200" b="1" i="0" baseline="0">
                <a:solidFill>
                  <a:schemeClr val="bg1"/>
                </a:solidFill>
              </a:rPr>
              <a:t> Count</a:t>
            </a:r>
            <a:endParaRPr lang="en-US" sz="1200" i="1">
              <a:solidFill>
                <a:schemeClr val="bg1"/>
              </a:solidFill>
            </a:endParaRPr>
          </a:p>
        </xdr:txBody>
      </xdr:sp>
      <xdr:sp macro="" textlink="namecount">
        <xdr:nvSpPr>
          <xdr:cNvPr id="41" name="TextBox 40">
            <a:extLst>
              <a:ext uri="{FF2B5EF4-FFF2-40B4-BE49-F238E27FC236}">
                <a16:creationId xmlns:a16="http://schemas.microsoft.com/office/drawing/2014/main" id="{AD13EBF6-F9A0-4743-953F-A58D3966A046}"/>
              </a:ext>
            </a:extLst>
          </xdr:cNvPr>
          <xdr:cNvSpPr txBox="1"/>
        </xdr:nvSpPr>
        <xdr:spPr>
          <a:xfrm>
            <a:off x="5138222" y="1281143"/>
            <a:ext cx="1500643" cy="384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04339D-E8DC-482D-9E07-B8A526090521}" type="TxLink">
              <a:rPr lang="en-US" sz="2800" b="1" i="0" u="none" strike="noStrike">
                <a:solidFill>
                  <a:schemeClr val="bg1"/>
                </a:solidFill>
                <a:latin typeface="Calibri"/>
                <a:cs typeface="Calibri"/>
              </a:rPr>
              <a:pPr algn="ctr"/>
              <a:t>475</a:t>
            </a:fld>
            <a:endParaRPr lang="en-US" sz="2800" b="1" i="1">
              <a:solidFill>
                <a:schemeClr val="bg1"/>
              </a:solidFill>
            </a:endParaRPr>
          </a:p>
        </xdr:txBody>
      </xdr:sp>
    </xdr:grpSp>
    <xdr:clientData/>
  </xdr:twoCellAnchor>
  <xdr:twoCellAnchor>
    <xdr:from>
      <xdr:col>1</xdr:col>
      <xdr:colOff>108158</xdr:colOff>
      <xdr:row>12</xdr:row>
      <xdr:rowOff>120952</xdr:rowOff>
    </xdr:from>
    <xdr:to>
      <xdr:col>7</xdr:col>
      <xdr:colOff>465668</xdr:colOff>
      <xdr:row>28</xdr:row>
      <xdr:rowOff>70555</xdr:rowOff>
    </xdr:to>
    <xdr:graphicFrame macro="">
      <xdr:nvGraphicFramePr>
        <xdr:cNvPr id="42" name="Chart 41">
          <a:extLst>
            <a:ext uri="{FF2B5EF4-FFF2-40B4-BE49-F238E27FC236}">
              <a16:creationId xmlns:a16="http://schemas.microsoft.com/office/drawing/2014/main" id="{EDB4708D-5EFB-4A71-AB59-E3B464B69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589414</xdr:colOff>
      <xdr:row>0</xdr:row>
      <xdr:rowOff>184057</xdr:rowOff>
    </xdr:from>
    <xdr:to>
      <xdr:col>14</xdr:col>
      <xdr:colOff>1472052</xdr:colOff>
      <xdr:row>10</xdr:row>
      <xdr:rowOff>147246</xdr:rowOff>
    </xdr:to>
    <xdr:sp macro="" textlink="">
      <xdr:nvSpPr>
        <xdr:cNvPr id="50" name="Rectangle: Rounded Corners 49">
          <a:extLst>
            <a:ext uri="{FF2B5EF4-FFF2-40B4-BE49-F238E27FC236}">
              <a16:creationId xmlns:a16="http://schemas.microsoft.com/office/drawing/2014/main" id="{EE5EDDFB-94F6-40E3-A10E-97FF58AB3FB8}"/>
            </a:ext>
          </a:extLst>
        </xdr:cNvPr>
        <xdr:cNvSpPr/>
      </xdr:nvSpPr>
      <xdr:spPr>
        <a:xfrm>
          <a:off x="9819921" y="184057"/>
          <a:ext cx="2097421" cy="1803769"/>
        </a:xfrm>
        <a:prstGeom prst="roundRect">
          <a:avLst>
            <a:gd name="adj" fmla="val 148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120473</xdr:colOff>
      <xdr:row>1</xdr:row>
      <xdr:rowOff>93515</xdr:rowOff>
    </xdr:from>
    <xdr:to>
      <xdr:col>14</xdr:col>
      <xdr:colOff>1348121</xdr:colOff>
      <xdr:row>6</xdr:row>
      <xdr:rowOff>64421</xdr:rowOff>
    </xdr:to>
    <mc:AlternateContent xmlns:mc="http://schemas.openxmlformats.org/markup-compatibility/2006" xmlns:a14="http://schemas.microsoft.com/office/drawing/2010/main">
      <mc:Choice Requires="a14">
        <xdr:graphicFrame macro="">
          <xdr:nvGraphicFramePr>
            <xdr:cNvPr id="47" name="Region">
              <a:extLst>
                <a:ext uri="{FF2B5EF4-FFF2-40B4-BE49-F238E27FC236}">
                  <a16:creationId xmlns:a16="http://schemas.microsoft.com/office/drawing/2014/main" id="{4E5EDA8C-7316-4D4D-9609-79BEAB24D6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58372" y="277573"/>
              <a:ext cx="1835039" cy="891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120473</xdr:colOff>
      <xdr:row>6</xdr:row>
      <xdr:rowOff>164998</xdr:rowOff>
    </xdr:from>
    <xdr:to>
      <xdr:col>14</xdr:col>
      <xdr:colOff>1348121</xdr:colOff>
      <xdr:row>10</xdr:row>
      <xdr:rowOff>55217</xdr:rowOff>
    </xdr:to>
    <mc:AlternateContent xmlns:mc="http://schemas.openxmlformats.org/markup-compatibility/2006" xmlns:a14="http://schemas.microsoft.com/office/drawing/2010/main">
      <mc:Choice Requires="a14">
        <xdr:graphicFrame macro="">
          <xdr:nvGraphicFramePr>
            <xdr:cNvPr id="49" name="Gender">
              <a:extLst>
                <a:ext uri="{FF2B5EF4-FFF2-40B4-BE49-F238E27FC236}">
                  <a16:creationId xmlns:a16="http://schemas.microsoft.com/office/drawing/2014/main" id="{C49E0805-761F-46DA-A279-8CED9CEDC1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58372" y="1269346"/>
              <a:ext cx="1835039" cy="626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370263</xdr:colOff>
      <xdr:row>1</xdr:row>
      <xdr:rowOff>122399</xdr:rowOff>
    </xdr:from>
    <xdr:to>
      <xdr:col>0</xdr:col>
      <xdr:colOff>1030111</xdr:colOff>
      <xdr:row>5</xdr:row>
      <xdr:rowOff>46015</xdr:rowOff>
    </xdr:to>
    <xdr:pic>
      <xdr:nvPicPr>
        <xdr:cNvPr id="34" name="Graphic 33" descr="Home">
          <a:extLst>
            <a:ext uri="{FF2B5EF4-FFF2-40B4-BE49-F238E27FC236}">
              <a16:creationId xmlns:a16="http://schemas.microsoft.com/office/drawing/2014/main" id="{C98BDA87-07F8-4FE7-83D1-8E21D1FF527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flipH="1">
          <a:off x="370263" y="306457"/>
          <a:ext cx="659848" cy="659848"/>
        </a:xfrm>
        <a:prstGeom prst="rect">
          <a:avLst/>
        </a:prstGeom>
      </xdr:spPr>
    </xdr:pic>
    <xdr:clientData/>
  </xdr:twoCellAnchor>
  <xdr:twoCellAnchor>
    <xdr:from>
      <xdr:col>8</xdr:col>
      <xdr:colOff>170262</xdr:colOff>
      <xdr:row>11</xdr:row>
      <xdr:rowOff>160131</xdr:rowOff>
    </xdr:from>
    <xdr:to>
      <xdr:col>11</xdr:col>
      <xdr:colOff>467874</xdr:colOff>
      <xdr:row>28</xdr:row>
      <xdr:rowOff>69834</xdr:rowOff>
    </xdr:to>
    <xdr:sp macro="" textlink="">
      <xdr:nvSpPr>
        <xdr:cNvPr id="15" name="Rectangle: Rounded Corners 14">
          <a:extLst>
            <a:ext uri="{FF2B5EF4-FFF2-40B4-BE49-F238E27FC236}">
              <a16:creationId xmlns:a16="http://schemas.microsoft.com/office/drawing/2014/main" id="{B2EE15B5-259E-40FD-AF8C-61C145C13303}"/>
            </a:ext>
          </a:extLst>
        </xdr:cNvPr>
        <xdr:cNvSpPr/>
      </xdr:nvSpPr>
      <xdr:spPr>
        <a:xfrm>
          <a:off x="7164465" y="2184769"/>
          <a:ext cx="2533916" cy="3038688"/>
        </a:xfrm>
        <a:prstGeom prst="roundRect">
          <a:avLst>
            <a:gd name="adj" fmla="val 518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228590</xdr:colOff>
      <xdr:row>12</xdr:row>
      <xdr:rowOff>81836</xdr:rowOff>
    </xdr:from>
    <xdr:to>
      <xdr:col>11</xdr:col>
      <xdr:colOff>345992</xdr:colOff>
      <xdr:row>27</xdr:row>
      <xdr:rowOff>131525</xdr:rowOff>
    </xdr:to>
    <xdr:graphicFrame macro="">
      <xdr:nvGraphicFramePr>
        <xdr:cNvPr id="46" name="Chart 45">
          <a:extLst>
            <a:ext uri="{FF2B5EF4-FFF2-40B4-BE49-F238E27FC236}">
              <a16:creationId xmlns:a16="http://schemas.microsoft.com/office/drawing/2014/main" id="{240503D9-1A9C-4DC8-9F5B-CCAAF9E05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67733</xdr:colOff>
      <xdr:row>1</xdr:row>
      <xdr:rowOff>16933</xdr:rowOff>
    </xdr:from>
    <xdr:to>
      <xdr:col>11</xdr:col>
      <xdr:colOff>330199</xdr:colOff>
      <xdr:row>10</xdr:row>
      <xdr:rowOff>118533</xdr:rowOff>
    </xdr:to>
    <xdr:graphicFrame macro="">
      <xdr:nvGraphicFramePr>
        <xdr:cNvPr id="33" name="Chart 32">
          <a:extLst>
            <a:ext uri="{FF2B5EF4-FFF2-40B4-BE49-F238E27FC236}">
              <a16:creationId xmlns:a16="http://schemas.microsoft.com/office/drawing/2014/main" id="{1AC7446D-DAA8-4ECB-B1EB-97D3B24B4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184058</xdr:colOff>
      <xdr:row>12</xdr:row>
      <xdr:rowOff>27608</xdr:rowOff>
    </xdr:from>
    <xdr:to>
      <xdr:col>14</xdr:col>
      <xdr:colOff>1509275</xdr:colOff>
      <xdr:row>28</xdr:row>
      <xdr:rowOff>9205</xdr:rowOff>
    </xdr:to>
    <xdr:graphicFrame macro="">
      <xdr:nvGraphicFramePr>
        <xdr:cNvPr id="35" name="Chart 34">
          <a:extLst>
            <a:ext uri="{FF2B5EF4-FFF2-40B4-BE49-F238E27FC236}">
              <a16:creationId xmlns:a16="http://schemas.microsoft.com/office/drawing/2014/main" id="{3756CD99-E6ED-4447-B4DC-8D0B5FBFE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1555750</xdr:colOff>
      <xdr:row>30</xdr:row>
      <xdr:rowOff>173181</xdr:rowOff>
    </xdr:to>
    <xdr:sp macro="" textlink="">
      <xdr:nvSpPr>
        <xdr:cNvPr id="12" name="Rectangle 11">
          <a:extLst>
            <a:ext uri="{FF2B5EF4-FFF2-40B4-BE49-F238E27FC236}">
              <a16:creationId xmlns:a16="http://schemas.microsoft.com/office/drawing/2014/main" id="{8EBC638B-5A08-4F18-9C75-5BDA3C0A5117}"/>
            </a:ext>
          </a:extLst>
        </xdr:cNvPr>
        <xdr:cNvSpPr/>
      </xdr:nvSpPr>
      <xdr:spPr>
        <a:xfrm>
          <a:off x="0" y="0"/>
          <a:ext cx="1555750" cy="5753484"/>
        </a:xfrm>
        <a:prstGeom prst="rect">
          <a:avLst/>
        </a:prstGeom>
        <a:gradFill flip="none" rotWithShape="1">
          <a:gsLst>
            <a:gs pos="28000">
              <a:schemeClr val="accent1">
                <a:lumMod val="75000"/>
              </a:schemeClr>
            </a:gs>
            <a:gs pos="50500">
              <a:srgbClr val="2E5292"/>
            </a:gs>
            <a:gs pos="73000">
              <a:schemeClr val="accent1">
                <a:lumMod val="50000"/>
              </a:schemeClr>
            </a:gs>
          </a:gsLst>
          <a:path path="circle">
            <a:fillToRect l="50000" t="50000" r="50000" b="50000"/>
          </a:path>
          <a:tileRect/>
        </a:gradFill>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82550</xdr:colOff>
      <xdr:row>5</xdr:row>
      <xdr:rowOff>110592</xdr:rowOff>
    </xdr:from>
    <xdr:to>
      <xdr:col>0</xdr:col>
      <xdr:colOff>1328994</xdr:colOff>
      <xdr:row>7</xdr:row>
      <xdr:rowOff>91527</xdr:rowOff>
    </xdr:to>
    <xdr:sp macro="" textlink="">
      <xdr:nvSpPr>
        <xdr:cNvPr id="13" name="Rectangle: Rounded Corners 12">
          <a:hlinkClick xmlns:r="http://schemas.openxmlformats.org/officeDocument/2006/relationships" r:id="rId1"/>
          <a:extLst>
            <a:ext uri="{FF2B5EF4-FFF2-40B4-BE49-F238E27FC236}">
              <a16:creationId xmlns:a16="http://schemas.microsoft.com/office/drawing/2014/main" id="{EE1C576C-4DA1-4901-8D9E-06B26613E3DE}"/>
            </a:ext>
          </a:extLst>
        </xdr:cNvPr>
        <xdr:cNvSpPr/>
      </xdr:nvSpPr>
      <xdr:spPr>
        <a:xfrm>
          <a:off x="82550" y="1031342"/>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r>
            <a:rPr lang="en-US" sz="1100" b="1" i="0">
              <a:solidFill>
                <a:schemeClr val="lt1"/>
              </a:solidFill>
              <a:effectLst/>
              <a:latin typeface="+mn-lt"/>
              <a:ea typeface="+mn-ea"/>
              <a:cs typeface="+mn-cs"/>
            </a:rPr>
            <a:t>Dashboard</a:t>
          </a:r>
          <a:endParaRPr lang="en-US" sz="1100">
            <a:solidFill>
              <a:schemeClr val="lt1"/>
            </a:solidFill>
            <a:latin typeface="+mn-lt"/>
            <a:ea typeface="+mn-ea"/>
            <a:cs typeface="+mn-cs"/>
          </a:endParaRPr>
        </a:p>
      </xdr:txBody>
    </xdr:sp>
    <xdr:clientData/>
  </xdr:twoCellAnchor>
  <xdr:twoCellAnchor>
    <xdr:from>
      <xdr:col>0</xdr:col>
      <xdr:colOff>82550</xdr:colOff>
      <xdr:row>8</xdr:row>
      <xdr:rowOff>12016</xdr:rowOff>
    </xdr:from>
    <xdr:to>
      <xdr:col>0</xdr:col>
      <xdr:colOff>1328994</xdr:colOff>
      <xdr:row>9</xdr:row>
      <xdr:rowOff>177101</xdr:rowOff>
    </xdr:to>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F1C2B47C-4333-4399-A5EF-7D8B6BCCCAFB}"/>
            </a:ext>
          </a:extLst>
        </xdr:cNvPr>
        <xdr:cNvSpPr/>
      </xdr:nvSpPr>
      <xdr:spPr>
        <a:xfrm>
          <a:off x="82550" y="1485216"/>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latin typeface="+mn-lt"/>
              <a:ea typeface="+mn-ea"/>
              <a:cs typeface="+mn-cs"/>
            </a:rPr>
            <a:t>Dataset</a:t>
          </a:r>
          <a:endParaRPr lang="en-US">
            <a:effectLst/>
          </a:endParaRPr>
        </a:p>
      </xdr:txBody>
    </xdr:sp>
    <xdr:clientData/>
  </xdr:twoCellAnchor>
  <xdr:twoCellAnchor>
    <xdr:from>
      <xdr:col>0</xdr:col>
      <xdr:colOff>82550</xdr:colOff>
      <xdr:row>10</xdr:row>
      <xdr:rowOff>94869</xdr:rowOff>
    </xdr:from>
    <xdr:to>
      <xdr:col>0</xdr:col>
      <xdr:colOff>1328994</xdr:colOff>
      <xdr:row>12</xdr:row>
      <xdr:rowOff>75804</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563953D2-375A-4634-89B7-9894B4E3FBAD}"/>
            </a:ext>
          </a:extLst>
        </xdr:cNvPr>
        <xdr:cNvSpPr/>
      </xdr:nvSpPr>
      <xdr:spPr>
        <a:xfrm>
          <a:off x="82550" y="1936369"/>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latin typeface="+mn-lt"/>
              <a:ea typeface="+mn-ea"/>
              <a:cs typeface="+mn-cs"/>
            </a:rPr>
            <a:t>Analysis</a:t>
          </a:r>
          <a:endParaRPr lang="en-US" sz="1100">
            <a:solidFill>
              <a:schemeClr val="lt1"/>
            </a:solidFill>
            <a:latin typeface="+mn-lt"/>
            <a:ea typeface="+mn-ea"/>
            <a:cs typeface="+mn-cs"/>
          </a:endParaRPr>
        </a:p>
      </xdr:txBody>
    </xdr:sp>
    <xdr:clientData/>
  </xdr:twoCellAnchor>
  <xdr:twoCellAnchor>
    <xdr:from>
      <xdr:col>0</xdr:col>
      <xdr:colOff>82550</xdr:colOff>
      <xdr:row>12</xdr:row>
      <xdr:rowOff>180442</xdr:rowOff>
    </xdr:from>
    <xdr:to>
      <xdr:col>0</xdr:col>
      <xdr:colOff>1328994</xdr:colOff>
      <xdr:row>14</xdr:row>
      <xdr:rowOff>161377</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1C7B3953-3188-453A-A306-FD9B7B8C4139}"/>
            </a:ext>
          </a:extLst>
        </xdr:cNvPr>
        <xdr:cNvSpPr/>
      </xdr:nvSpPr>
      <xdr:spPr>
        <a:xfrm>
          <a:off x="82550" y="2390242"/>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latin typeface="+mn-lt"/>
              <a:ea typeface="+mn-ea"/>
              <a:cs typeface="+mn-cs"/>
            </a:rPr>
            <a:t>Contact</a:t>
          </a:r>
          <a:endParaRPr lang="en-US">
            <a:effectLst/>
          </a:endParaRPr>
        </a:p>
        <a:p>
          <a:pPr marL="0" indent="0" algn="l"/>
          <a:endParaRPr lang="en-US" sz="1100">
            <a:solidFill>
              <a:schemeClr val="lt1"/>
            </a:solidFill>
            <a:latin typeface="+mn-lt"/>
            <a:ea typeface="+mn-ea"/>
            <a:cs typeface="+mn-cs"/>
          </a:endParaRPr>
        </a:p>
      </xdr:txBody>
    </xdr:sp>
    <xdr:clientData/>
  </xdr:twoCellAnchor>
  <xdr:twoCellAnchor editAs="oneCell">
    <xdr:from>
      <xdr:col>0</xdr:col>
      <xdr:colOff>352778</xdr:colOff>
      <xdr:row>1</xdr:row>
      <xdr:rowOff>70556</xdr:rowOff>
    </xdr:from>
    <xdr:to>
      <xdr:col>0</xdr:col>
      <xdr:colOff>1012626</xdr:colOff>
      <xdr:row>4</xdr:row>
      <xdr:rowOff>172374</xdr:rowOff>
    </xdr:to>
    <xdr:pic>
      <xdr:nvPicPr>
        <xdr:cNvPr id="17" name="Graphic 16" descr="Home">
          <a:extLst>
            <a:ext uri="{FF2B5EF4-FFF2-40B4-BE49-F238E27FC236}">
              <a16:creationId xmlns:a16="http://schemas.microsoft.com/office/drawing/2014/main" id="{5981F7B0-C46D-4537-B609-B82A7E0E54E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flipH="1">
          <a:off x="352778" y="256566"/>
          <a:ext cx="659848" cy="6598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1562100</xdr:colOff>
      <xdr:row>27</xdr:row>
      <xdr:rowOff>82851</xdr:rowOff>
    </xdr:to>
    <xdr:sp macro="" textlink="">
      <xdr:nvSpPr>
        <xdr:cNvPr id="2" name="Rectangle 1">
          <a:extLst>
            <a:ext uri="{FF2B5EF4-FFF2-40B4-BE49-F238E27FC236}">
              <a16:creationId xmlns:a16="http://schemas.microsoft.com/office/drawing/2014/main" id="{F48EA6FC-6980-44AB-BFF5-B9DF37BF1000}"/>
            </a:ext>
          </a:extLst>
        </xdr:cNvPr>
        <xdr:cNvSpPr/>
      </xdr:nvSpPr>
      <xdr:spPr>
        <a:xfrm>
          <a:off x="0" y="184150"/>
          <a:ext cx="1562100" cy="5200951"/>
        </a:xfrm>
        <a:prstGeom prst="rect">
          <a:avLst/>
        </a:prstGeom>
        <a:gradFill flip="none" rotWithShape="1">
          <a:gsLst>
            <a:gs pos="28000">
              <a:schemeClr val="accent1">
                <a:lumMod val="75000"/>
              </a:schemeClr>
            </a:gs>
            <a:gs pos="50500">
              <a:srgbClr val="2E5292"/>
            </a:gs>
            <a:gs pos="73000">
              <a:schemeClr val="accent1">
                <a:lumMod val="50000"/>
              </a:schemeClr>
            </a:gs>
          </a:gsLst>
          <a:path path="circle">
            <a:fillToRect l="50000" t="50000" r="50000" b="50000"/>
          </a:path>
          <a:tileRect/>
        </a:gradFill>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82550</xdr:colOff>
      <xdr:row>6</xdr:row>
      <xdr:rowOff>47092</xdr:rowOff>
    </xdr:from>
    <xdr:to>
      <xdr:col>0</xdr:col>
      <xdr:colOff>1328994</xdr:colOff>
      <xdr:row>8</xdr:row>
      <xdr:rowOff>2627</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B32CE676-81D5-4974-A565-3E773754D3B0}"/>
            </a:ext>
          </a:extLst>
        </xdr:cNvPr>
        <xdr:cNvSpPr/>
      </xdr:nvSpPr>
      <xdr:spPr>
        <a:xfrm>
          <a:off x="82550" y="1215492"/>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r>
            <a:rPr lang="en-US" sz="1100" b="1" i="0">
              <a:solidFill>
                <a:schemeClr val="lt1"/>
              </a:solidFill>
              <a:effectLst/>
              <a:latin typeface="+mn-lt"/>
              <a:ea typeface="+mn-ea"/>
              <a:cs typeface="+mn-cs"/>
            </a:rPr>
            <a:t>Dashboard</a:t>
          </a:r>
          <a:endParaRPr lang="en-US" sz="1100">
            <a:solidFill>
              <a:schemeClr val="lt1"/>
            </a:solidFill>
            <a:latin typeface="+mn-lt"/>
            <a:ea typeface="+mn-ea"/>
            <a:cs typeface="+mn-cs"/>
          </a:endParaRPr>
        </a:p>
      </xdr:txBody>
    </xdr:sp>
    <xdr:clientData/>
  </xdr:twoCellAnchor>
  <xdr:twoCellAnchor>
    <xdr:from>
      <xdr:col>0</xdr:col>
      <xdr:colOff>82550</xdr:colOff>
      <xdr:row>8</xdr:row>
      <xdr:rowOff>107266</xdr:rowOff>
    </xdr:from>
    <xdr:to>
      <xdr:col>0</xdr:col>
      <xdr:colOff>1328994</xdr:colOff>
      <xdr:row>10</xdr:row>
      <xdr:rowOff>62801</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BFC55F59-22DD-4F64-8262-E3F151A9C9CB}"/>
            </a:ext>
          </a:extLst>
        </xdr:cNvPr>
        <xdr:cNvSpPr/>
      </xdr:nvSpPr>
      <xdr:spPr>
        <a:xfrm>
          <a:off x="82550" y="1669366"/>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latin typeface="+mn-lt"/>
              <a:ea typeface="+mn-ea"/>
              <a:cs typeface="+mn-cs"/>
            </a:rPr>
            <a:t>Dataset</a:t>
          </a:r>
          <a:endParaRPr lang="en-US">
            <a:effectLst/>
          </a:endParaRPr>
        </a:p>
      </xdr:txBody>
    </xdr:sp>
    <xdr:clientData/>
  </xdr:twoCellAnchor>
  <xdr:twoCellAnchor>
    <xdr:from>
      <xdr:col>0</xdr:col>
      <xdr:colOff>82550</xdr:colOff>
      <xdr:row>10</xdr:row>
      <xdr:rowOff>164719</xdr:rowOff>
    </xdr:from>
    <xdr:to>
      <xdr:col>0</xdr:col>
      <xdr:colOff>1328994</xdr:colOff>
      <xdr:row>12</xdr:row>
      <xdr:rowOff>120254</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FF441D18-CAA8-4D35-83DA-75393BC3E269}"/>
            </a:ext>
          </a:extLst>
        </xdr:cNvPr>
        <xdr:cNvSpPr/>
      </xdr:nvSpPr>
      <xdr:spPr>
        <a:xfrm>
          <a:off x="82550" y="2120519"/>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latin typeface="+mn-lt"/>
              <a:ea typeface="+mn-ea"/>
              <a:cs typeface="+mn-cs"/>
            </a:rPr>
            <a:t>Analysis</a:t>
          </a:r>
          <a:endParaRPr lang="en-US" sz="1100">
            <a:solidFill>
              <a:schemeClr val="lt1"/>
            </a:solidFill>
            <a:latin typeface="+mn-lt"/>
            <a:ea typeface="+mn-ea"/>
            <a:cs typeface="+mn-cs"/>
          </a:endParaRPr>
        </a:p>
      </xdr:txBody>
    </xdr:sp>
    <xdr:clientData/>
  </xdr:twoCellAnchor>
  <xdr:twoCellAnchor>
    <xdr:from>
      <xdr:col>0</xdr:col>
      <xdr:colOff>82550</xdr:colOff>
      <xdr:row>13</xdr:row>
      <xdr:rowOff>28042</xdr:rowOff>
    </xdr:from>
    <xdr:to>
      <xdr:col>0</xdr:col>
      <xdr:colOff>1328994</xdr:colOff>
      <xdr:row>14</xdr:row>
      <xdr:rowOff>180427</xdr:rowOff>
    </xdr:to>
    <xdr:sp macro="" textlink="">
      <xdr:nvSpPr>
        <xdr:cNvPr id="6" name="Rectangle: Rounded Corners 5">
          <a:extLst>
            <a:ext uri="{FF2B5EF4-FFF2-40B4-BE49-F238E27FC236}">
              <a16:creationId xmlns:a16="http://schemas.microsoft.com/office/drawing/2014/main" id="{535E87B5-321C-45DF-A70D-DB4B8A7DAD85}"/>
            </a:ext>
          </a:extLst>
        </xdr:cNvPr>
        <xdr:cNvSpPr/>
      </xdr:nvSpPr>
      <xdr:spPr>
        <a:xfrm>
          <a:off x="82550" y="2574392"/>
          <a:ext cx="1246444" cy="349235"/>
        </a:xfrm>
        <a:prstGeom prst="roundRect">
          <a:avLst/>
        </a:prstGeom>
        <a:gradFill flip="none" rotWithShape="1">
          <a:gsLst>
            <a:gs pos="0">
              <a:schemeClr val="accent2">
                <a:lumMod val="0"/>
                <a:lumOff val="100000"/>
              </a:schemeClr>
            </a:gs>
            <a:gs pos="5000">
              <a:srgbClr val="F6BE98">
                <a:lumMod val="88000"/>
              </a:srgbClr>
            </a:gs>
            <a:gs pos="80000">
              <a:schemeClr val="accent2">
                <a:lumMod val="100000"/>
              </a:schemeClr>
            </a:gs>
          </a:gsLst>
          <a:path path="rect">
            <a:fillToRect t="100000" r="100000"/>
          </a:path>
          <a:tileRect l="-100000" b="-100000"/>
        </a:gradFill>
        <a:ln>
          <a:no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latin typeface="+mn-lt"/>
              <a:ea typeface="+mn-ea"/>
              <a:cs typeface="+mn-cs"/>
            </a:rPr>
            <a:t>Contact</a:t>
          </a:r>
          <a:endParaRPr lang="en-US">
            <a:effectLst/>
          </a:endParaRPr>
        </a:p>
        <a:p>
          <a:pPr marL="0" indent="0" algn="l"/>
          <a:endParaRPr lang="en-US" sz="1100">
            <a:solidFill>
              <a:schemeClr val="lt1"/>
            </a:solidFill>
            <a:latin typeface="+mn-lt"/>
            <a:ea typeface="+mn-ea"/>
            <a:cs typeface="+mn-cs"/>
          </a:endParaRPr>
        </a:p>
      </xdr:txBody>
    </xdr:sp>
    <xdr:clientData/>
  </xdr:twoCellAnchor>
  <xdr:twoCellAnchor editAs="oneCell">
    <xdr:from>
      <xdr:col>0</xdr:col>
      <xdr:colOff>323850</xdr:colOff>
      <xdr:row>2</xdr:row>
      <xdr:rowOff>82550</xdr:rowOff>
    </xdr:from>
    <xdr:to>
      <xdr:col>0</xdr:col>
      <xdr:colOff>983698</xdr:colOff>
      <xdr:row>5</xdr:row>
      <xdr:rowOff>151848</xdr:rowOff>
    </xdr:to>
    <xdr:pic>
      <xdr:nvPicPr>
        <xdr:cNvPr id="8" name="Graphic 7" descr="Home">
          <a:extLst>
            <a:ext uri="{FF2B5EF4-FFF2-40B4-BE49-F238E27FC236}">
              <a16:creationId xmlns:a16="http://schemas.microsoft.com/office/drawing/2014/main" id="{94C23F8A-DACF-44B5-B999-08C6A625790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flipH="1">
          <a:off x="323850" y="463550"/>
          <a:ext cx="659848" cy="6598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1.548830208332" createdVersion="6" refreshedVersion="6" minRefreshableVersion="3" recordCount="475" xr:uid="{D187B141-9FD4-4CAB-BA39-FB9FD3DE8221}">
  <cacheSource type="worksheet">
    <worksheetSource ref="B2:X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Region" numFmtId="0">
      <sharedItems count="4">
        <s v="EMEA"/>
        <s v="NA"/>
        <s v="APAC"/>
        <s v="LATAM"/>
      </sharedItems>
    </cacheField>
    <cacheField name="City" numFmtId="0">
      <sharedItems count="221">
        <s v="Paris"/>
        <s v="Austin"/>
        <s v="Medina"/>
        <s v="Lanai"/>
        <s v="Omaha"/>
        <s v="New York"/>
        <s v="Mexico City"/>
        <s v="Mumbai"/>
        <s v="Hunts Point"/>
        <s v="Palo Alto"/>
        <s v="La Coruna"/>
        <s v="Los Altos"/>
        <s v="Hangzhou"/>
        <s v="Wichita"/>
        <s v="Bentonville"/>
        <s v="Fort Worth"/>
        <s v="Toronto"/>
        <s v="Ahmedabad"/>
        <s v="Hillsboro"/>
        <s v="Beijing"/>
        <s v="Neckarsulm"/>
        <s v="Schindellegi"/>
        <s v="Brussels"/>
        <s v="The Plains"/>
        <s v="Jackson"/>
        <s v="Shenzhen"/>
        <s v="Las Vegas"/>
        <s v="Miami"/>
        <s v="Salzburg"/>
        <s v="Ningde"/>
        <s v="Tokyo"/>
        <s v="London"/>
        <s v="Geneva"/>
        <s v="Shanghai"/>
        <s v="Kuenzelsau"/>
        <s v="Haverford"/>
        <s v="East Setauket"/>
        <s v="Bad Homburg"/>
        <s v="Perth"/>
        <s v="Delhi"/>
        <s v="Jakarta"/>
        <s v="Palm Beach"/>
        <s v="Ras Al Khaimah"/>
        <s v="Frankfurt"/>
        <s v="Seattle"/>
        <s v="Kudus"/>
        <s v="Moscow"/>
        <s v="Foshan"/>
        <s v="Santiago"/>
        <s v="Pune"/>
        <s v="Laval"/>
        <s v="Milton"/>
        <s v="Chicago"/>
        <s v="Osaka"/>
        <s v="Nashville"/>
        <s v="Greenwich"/>
        <s v="Nanyang"/>
        <s v="Oklahoma City"/>
        <s v="Franklin"/>
        <s v="Indian Creek"/>
        <s v="Hisar"/>
        <s v="Newport Beach"/>
        <s v="Eau Claire"/>
        <s v="Crans-Montana"/>
        <s v="Mulheim an der Ruhr"/>
        <s v="Prague"/>
        <s v="Stockholm"/>
        <s v="Atherton"/>
        <s v="Zurich"/>
        <s v="San Jose"/>
        <s v="Bangkok"/>
        <s v="Baoding"/>
        <s v="Singapore"/>
        <s v="Lagos"/>
        <s v="Changsha"/>
        <s v="Afton"/>
        <s v="Dallas"/>
        <s v="Tulsa"/>
        <s v="Guangzhou"/>
        <s v="Sydney"/>
        <s v="Electra"/>
        <s v="Yinchuan"/>
        <s v="Chongqing"/>
        <s v="Naples"/>
        <s v="Dubai"/>
        <s v="Tegernsee"/>
        <s v="Chengdu"/>
        <s v="Bryn Mawr"/>
        <s v="Herzliya"/>
        <s v="Melbourne"/>
        <s v="Frauenfeld"/>
        <s v="Milan"/>
        <s v="Cape Town"/>
        <s v="Denver"/>
        <s v="Brookline"/>
        <s v="Sao Paulo"/>
        <s v="Bloomington"/>
        <s v="Incline Village"/>
        <s v="Houston"/>
        <s v="Magnitogorsk"/>
        <s v="Herzogenaurach"/>
        <s v="Kuala Lumpur"/>
        <s v="Midland"/>
        <s v="Martigny"/>
        <s v="Marseille"/>
        <s v="Seoul"/>
        <s v="Haiger"/>
        <s v="Lianyungang"/>
        <s v="Keene"/>
        <s v="Xingtai"/>
        <s v="Ningbo"/>
        <s v="Los Angeles"/>
        <s v="Alexandria"/>
        <s v="Philadelphia"/>
        <s v="Vancouver"/>
        <s v="Gstaad"/>
        <s v="San Francisco"/>
        <s v="Gloucestershire"/>
        <s v="Elizabeth"/>
        <s v="Bangalore"/>
        <s v="Woodside"/>
        <s v="Beverly Hills"/>
        <s v="Ruschlikon"/>
        <s v="Hamburg"/>
        <s v="Changzhou"/>
        <s v="Surrey"/>
        <s v="Newmarket"/>
        <s v="Moscow region"/>
        <s v="Honolulu"/>
        <s v="Wujiang"/>
        <s v="Auckland"/>
        <s v="Heidelberg"/>
        <s v="St. Gallen"/>
        <s v="Manila"/>
        <s v="Xi'an"/>
        <s v="Atlanta"/>
        <s v="Johannesburg"/>
        <s v="New South Wales"/>
        <s v="Binzhou"/>
        <s v="Springfield"/>
        <s v="Verbier"/>
        <s v="Winnetka"/>
        <s v="Miami Beach"/>
        <s v="Quanzhou"/>
        <s v="Henderson"/>
        <s v="Vienna"/>
        <s v="Saddle River"/>
        <s v="Oslo"/>
        <s v="Hefei"/>
        <s v="San Antonio"/>
        <s v="Cary"/>
        <s v="Santa Barbara"/>
        <s v="Cairo"/>
        <s v="Adel"/>
        <s v="Kolkata"/>
        <s v="Aarhus"/>
        <s v="Gladwyne"/>
        <s v="Malibu"/>
        <s v="Madison"/>
        <s v="Lexington"/>
        <s v="Lausanne"/>
        <s v="Redlands"/>
        <s v="Hobe Sound"/>
        <s v="Port Washington"/>
        <s v="St. Louis"/>
        <s v="Huizhou"/>
        <s v="Lighthouse Point"/>
        <s v="Portage"/>
        <s v="Stoke-on-Trent"/>
        <s v="Boston"/>
        <s v="Millburn"/>
        <s v="Scarsdale"/>
        <s v="Billund"/>
        <s v="Fiesole"/>
        <s v="Feldmeilen"/>
        <s v="Boca Raton"/>
        <s v="Katonah"/>
        <s v="Irvine"/>
        <s v="Rolling Hills"/>
        <s v="Wilen bei Wollerau"/>
        <s v="Hampton"/>
        <s v="Newport Coast"/>
        <s v="Munich"/>
        <s v="Chevy Chase"/>
        <s v="Crans Montana"/>
        <s v="Gothenberg"/>
        <s v="Bogota"/>
        <s v="Missoula"/>
        <s v="Lyon"/>
        <s v="Langfang"/>
        <s v="Tel Aviv"/>
        <s v="Amsterdam"/>
        <s v="Kielce"/>
        <s v="Montreal"/>
        <s v="Reno"/>
        <s v="New Albany"/>
        <s v="Darien"/>
        <s v="Humlebaek"/>
        <s v="Donetsk"/>
        <s v="Saint John"/>
        <s v="Jona"/>
        <s v="North Palm Beach"/>
        <s v="Sands Point"/>
        <s v="Branford"/>
        <s v="Bal Harbour"/>
        <s v="Palisades"/>
        <s v="Redding"/>
        <s v="Modena"/>
        <s v="Ulm"/>
        <s v="Potomac"/>
        <s v="East Hampton"/>
        <s v="Venice"/>
        <s v="Southampton"/>
        <s v="Bloomfield Hills"/>
        <s v="Suzhou"/>
        <s v="Lucerne"/>
        <s v="Passau"/>
        <s v="Istanbul"/>
        <s v="Saint Petersburg"/>
        <s v="Visbek"/>
        <s v="Abu Dhabi"/>
      </sharedItems>
    </cacheField>
    <cacheField name="Source" numFmtId="0">
      <sharedItems/>
    </cacheField>
    <cacheField name="Industries" numFmtId="0">
      <sharedItems count="18">
        <s v="Fashion &amp; Retail"/>
        <s v="Automotive"/>
        <s v="Technology"/>
        <s v="Finance"/>
        <s v="Media"/>
        <s v="Telecom"/>
        <s v="Diversified"/>
        <s v="Food &amp; Beverage"/>
        <s v="Logistics"/>
        <s v="Gambling"/>
        <s v="Manufacturing"/>
        <s v="Metals &amp; Mining"/>
        <s v="Energy"/>
        <s v="Healthcare"/>
        <s v="Service"/>
        <s v="Real Estate"/>
        <s v="Construction &amp; Engineering"/>
        <s v="Sports"/>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ount="171">
        <n v="211000"/>
        <n v="180000"/>
        <n v="114000"/>
        <n v="107000"/>
        <n v="106000"/>
        <n v="104000"/>
        <n v="94500"/>
        <n v="93000"/>
        <n v="83400"/>
        <n v="80700"/>
        <n v="80500"/>
        <n v="79200"/>
        <n v="77300"/>
        <n v="76000"/>
        <n v="68000"/>
        <n v="64400"/>
        <n v="59000"/>
        <n v="58800"/>
        <n v="57600"/>
        <n v="56700"/>
        <n v="54400"/>
        <n v="50100"/>
        <n v="47200"/>
        <n v="45100"/>
        <n v="45000"/>
        <n v="42900"/>
        <n v="40100"/>
        <n v="39100"/>
        <n v="38900"/>
        <n v="38300"/>
        <n v="35300"/>
        <n v="35000"/>
        <n v="34700"/>
        <n v="33400"/>
        <n v="32600"/>
        <n v="32100"/>
        <n v="31600"/>
        <n v="31200"/>
        <n v="30200"/>
        <n v="29700"/>
        <n v="28500"/>
        <n v="28100"/>
        <n v="27800"/>
        <n v="27400"/>
        <n v="27000"/>
        <n v="26700"/>
        <n v="26600"/>
        <n v="25600"/>
        <n v="25500"/>
        <n v="25300"/>
        <n v="25200"/>
        <n v="24600"/>
        <n v="24400"/>
        <n v="24200"/>
        <n v="23700"/>
        <n v="23500"/>
        <n v="23400"/>
        <n v="23100"/>
        <n v="22900"/>
        <n v="22600"/>
        <n v="22400"/>
        <n v="22100"/>
        <n v="22000"/>
        <n v="21600"/>
        <n v="21200"/>
        <n v="21100"/>
        <n v="21000"/>
        <n v="20900"/>
        <n v="20500"/>
        <n v="20200"/>
        <n v="19600"/>
        <n v="19100"/>
        <n v="19000"/>
        <n v="18900"/>
        <n v="18700"/>
        <n v="18500"/>
        <n v="18000"/>
        <n v="17700"/>
        <n v="17500"/>
        <n v="17400"/>
        <n v="17100"/>
        <n v="16700"/>
        <n v="16500"/>
        <n v="16300"/>
        <n v="16200"/>
        <n v="16000"/>
        <n v="15900"/>
        <n v="15800"/>
        <n v="15600"/>
        <n v="15500"/>
        <n v="15300"/>
        <n v="15200"/>
        <n v="14900"/>
        <n v="14800"/>
        <n v="14700"/>
        <n v="14600"/>
        <n v="14500"/>
        <n v="14300"/>
        <n v="14200"/>
        <n v="14000"/>
        <n v="13900"/>
        <n v="13700"/>
        <n v="13300"/>
        <n v="13200"/>
        <n v="13100"/>
        <n v="12900"/>
        <n v="12600"/>
        <n v="12300"/>
        <n v="12200"/>
        <n v="12100"/>
        <n v="12000"/>
        <n v="11600"/>
        <n v="11500"/>
        <n v="11400"/>
        <n v="11300"/>
        <n v="11100"/>
        <n v="11000"/>
        <n v="10900"/>
        <n v="10700"/>
        <n v="10600"/>
        <n v="10500"/>
        <n v="10300"/>
        <n v="10200"/>
        <n v="10100"/>
        <n v="10000"/>
        <n v="9900"/>
        <n v="9800"/>
        <n v="9700"/>
        <n v="9600"/>
        <n v="9500"/>
        <n v="9400"/>
        <n v="9300"/>
        <n v="9200"/>
        <n v="9000"/>
        <n v="8900"/>
        <n v="8800"/>
        <n v="8700"/>
        <n v="8600"/>
        <n v="8500"/>
        <n v="8400"/>
        <n v="8300"/>
        <n v="8200"/>
        <n v="8100"/>
        <n v="8000"/>
        <n v="7900"/>
        <n v="7800"/>
        <n v="7700"/>
        <n v="7600"/>
        <n v="7500"/>
        <n v="7400"/>
        <n v="7300"/>
        <n v="7200"/>
        <n v="7100"/>
        <n v="7000"/>
        <n v="6900"/>
        <n v="6800"/>
        <n v="6700"/>
        <n v="6600"/>
        <n v="6500"/>
        <n v="6400"/>
        <n v="6300"/>
        <n v="6200"/>
        <n v="6100"/>
        <n v="6000"/>
        <n v="5900"/>
        <n v="5800"/>
        <n v="5700"/>
        <n v="5600"/>
        <n v="5500"/>
        <n v="5400"/>
        <n v="5300"/>
      </sharedItems>
    </cacheField>
    <cacheField name="Age" numFmtId="0">
      <sharedItems containsSemiMixedTypes="0" containsString="0" containsNumber="1" containsInteger="1" minValue="30" maxValue="96" count="62">
        <n v="74"/>
        <n v="51"/>
        <n v="59"/>
        <n v="78"/>
        <n v="92"/>
        <n v="67"/>
        <n v="81"/>
        <n v="83"/>
        <n v="65"/>
        <n v="69"/>
        <n v="50"/>
        <n v="87"/>
        <n v="49"/>
        <n v="68"/>
        <n v="38"/>
        <n v="60"/>
        <n v="73"/>
        <n v="58"/>
        <n v="85"/>
        <n v="39"/>
        <n v="86"/>
        <n v="77"/>
        <n v="54"/>
        <n v="30"/>
        <n v="72"/>
        <n v="82"/>
        <n v="43"/>
        <n v="64"/>
        <n v="84"/>
        <n v="76"/>
        <n v="56"/>
        <n v="52"/>
        <n v="62"/>
        <n v="80"/>
        <n v="70"/>
        <n v="66"/>
        <n v="61"/>
        <n v="36"/>
        <n v="90"/>
        <n v="57"/>
        <n v="55"/>
        <n v="75"/>
        <n v="45"/>
        <n v="95"/>
        <n v="47"/>
        <n v="88"/>
        <n v="93"/>
        <n v="41"/>
        <n v="53"/>
        <n v="63"/>
        <n v="71"/>
        <n v="94"/>
        <n v="44"/>
        <n v="79"/>
        <n v="91"/>
        <n v="42"/>
        <n v="89"/>
        <n v="37"/>
        <n v="40"/>
        <n v="96"/>
        <n v="32"/>
        <n v="34"/>
      </sharedItems>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190775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x v="0"/>
    <x v="0"/>
    <x v="0"/>
    <s v="LVMH"/>
    <x v="0"/>
    <x v="0"/>
    <x v="0"/>
    <s v="Arnault"/>
    <s v="Bernard"/>
    <x v="0"/>
    <x v="0"/>
    <n v="1949"/>
    <n v="3"/>
    <n v="5"/>
    <n v="110.05"/>
    <n v="2715518274227"/>
    <n v="82.5"/>
    <n v="24.2"/>
    <n v="60.7"/>
    <n v="67059887"/>
  </r>
  <r>
    <n v="2"/>
    <x v="1"/>
    <x v="1"/>
    <x v="1"/>
    <x v="1"/>
    <x v="1"/>
    <s v="Tesla, SpaceX"/>
    <x v="1"/>
    <x v="1"/>
    <x v="0"/>
    <s v="Musk"/>
    <s v="Elon"/>
    <x v="1"/>
    <x v="1"/>
    <n v="1971"/>
    <n v="6"/>
    <n v="28"/>
    <n v="117.24"/>
    <n v="21427700000000"/>
    <n v="78.5"/>
    <n v="9.6"/>
    <n v="36.6"/>
    <n v="328239523"/>
  </r>
  <r>
    <n v="3"/>
    <x v="2"/>
    <x v="2"/>
    <x v="1"/>
    <x v="1"/>
    <x v="2"/>
    <s v="Amazon"/>
    <x v="2"/>
    <x v="1"/>
    <x v="0"/>
    <s v="Bezos"/>
    <s v="Jeff"/>
    <x v="2"/>
    <x v="2"/>
    <n v="1964"/>
    <n v="1"/>
    <n v="12"/>
    <n v="117.24"/>
    <n v="21427700000000"/>
    <n v="78.5"/>
    <n v="9.6"/>
    <n v="36.6"/>
    <n v="328239523"/>
  </r>
  <r>
    <n v="4"/>
    <x v="3"/>
    <x v="2"/>
    <x v="1"/>
    <x v="1"/>
    <x v="3"/>
    <s v="Oracle"/>
    <x v="2"/>
    <x v="1"/>
    <x v="0"/>
    <s v="Ellison"/>
    <s v="Larry"/>
    <x v="3"/>
    <x v="3"/>
    <n v="1944"/>
    <n v="8"/>
    <n v="17"/>
    <n v="117.24"/>
    <n v="21427700000000"/>
    <n v="78.5"/>
    <n v="9.6"/>
    <n v="36.6"/>
    <n v="328239523"/>
  </r>
  <r>
    <n v="5"/>
    <x v="4"/>
    <x v="3"/>
    <x v="1"/>
    <x v="1"/>
    <x v="4"/>
    <s v="Berkshire Hathaway"/>
    <x v="3"/>
    <x v="1"/>
    <x v="0"/>
    <s v="Buffett"/>
    <s v="Warren"/>
    <x v="4"/>
    <x v="4"/>
    <n v="1930"/>
    <n v="8"/>
    <n v="30"/>
    <n v="117.24"/>
    <n v="21427700000000"/>
    <n v="78.5"/>
    <n v="9.6"/>
    <n v="36.6"/>
    <n v="328239523"/>
  </r>
  <r>
    <n v="6"/>
    <x v="5"/>
    <x v="2"/>
    <x v="1"/>
    <x v="1"/>
    <x v="2"/>
    <s v="Microsoft"/>
    <x v="2"/>
    <x v="1"/>
    <x v="0"/>
    <s v="Gates"/>
    <s v="Bill"/>
    <x v="5"/>
    <x v="5"/>
    <n v="1955"/>
    <n v="10"/>
    <n v="28"/>
    <n v="117.24"/>
    <n v="21427700000000"/>
    <n v="78.5"/>
    <n v="9.6"/>
    <n v="36.6"/>
    <n v="328239523"/>
  </r>
  <r>
    <n v="7"/>
    <x v="6"/>
    <x v="4"/>
    <x v="1"/>
    <x v="1"/>
    <x v="5"/>
    <s v="Bloomberg LP"/>
    <x v="4"/>
    <x v="1"/>
    <x v="0"/>
    <s v="Bloomberg"/>
    <s v="Michael"/>
    <x v="6"/>
    <x v="6"/>
    <n v="1942"/>
    <n v="2"/>
    <n v="14"/>
    <n v="117.24"/>
    <n v="21427700000000"/>
    <n v="78.5"/>
    <n v="9.6"/>
    <n v="36.6"/>
    <n v="328239523"/>
  </r>
  <r>
    <n v="8"/>
    <x v="7"/>
    <x v="5"/>
    <x v="2"/>
    <x v="1"/>
    <x v="6"/>
    <s v="Telecom"/>
    <x v="5"/>
    <x v="1"/>
    <x v="0"/>
    <s v="Slim Helu"/>
    <s v="Carlos"/>
    <x v="7"/>
    <x v="7"/>
    <n v="1940"/>
    <n v="1"/>
    <n v="28"/>
    <n v="141.54"/>
    <n v="1258286717125"/>
    <n v="75"/>
    <n v="13.1"/>
    <n v="55.1"/>
    <n v="126014024"/>
  </r>
  <r>
    <n v="9"/>
    <x v="8"/>
    <x v="6"/>
    <x v="3"/>
    <x v="2"/>
    <x v="7"/>
    <s v="Diversified"/>
    <x v="6"/>
    <x v="0"/>
    <x v="0"/>
    <s v="Ambani"/>
    <s v="Mukesh"/>
    <x v="8"/>
    <x v="8"/>
    <n v="1957"/>
    <n v="4"/>
    <n v="19"/>
    <n v="180.44"/>
    <n v="2611000000000"/>
    <n v="69.400000000000006"/>
    <n v="11.2"/>
    <n v="49.7"/>
    <n v="1366417754"/>
  </r>
  <r>
    <n v="10"/>
    <x v="9"/>
    <x v="2"/>
    <x v="1"/>
    <x v="1"/>
    <x v="8"/>
    <s v="Microsoft"/>
    <x v="2"/>
    <x v="1"/>
    <x v="0"/>
    <s v="Ballmer"/>
    <s v="Steve"/>
    <x v="9"/>
    <x v="5"/>
    <n v="1956"/>
    <n v="3"/>
    <n v="24"/>
    <n v="117.24"/>
    <n v="21427700000000"/>
    <n v="78.5"/>
    <n v="9.6"/>
    <n v="36.6"/>
    <n v="328239523"/>
  </r>
  <r>
    <n v="11"/>
    <x v="10"/>
    <x v="0"/>
    <x v="0"/>
    <x v="0"/>
    <x v="0"/>
    <s v="L'Oréal"/>
    <x v="0"/>
    <x v="0"/>
    <x v="1"/>
    <s v="Bettencourt Meyers"/>
    <s v="Francoise"/>
    <x v="10"/>
    <x v="9"/>
    <n v="1953"/>
    <n v="7"/>
    <n v="10"/>
    <n v="110.05"/>
    <n v="2715518274227"/>
    <n v="82.5"/>
    <n v="24.2"/>
    <n v="60.7"/>
    <n v="67059887"/>
  </r>
  <r>
    <n v="12"/>
    <x v="11"/>
    <x v="2"/>
    <x v="1"/>
    <x v="1"/>
    <x v="9"/>
    <s v="Google"/>
    <x v="2"/>
    <x v="1"/>
    <x v="0"/>
    <s v="Page"/>
    <s v="Larry"/>
    <x v="11"/>
    <x v="10"/>
    <n v="1973"/>
    <n v="3"/>
    <n v="26"/>
    <n v="117.24"/>
    <n v="21427700000000"/>
    <n v="78.5"/>
    <n v="9.6"/>
    <n v="36.6"/>
    <n v="328239523"/>
  </r>
  <r>
    <n v="13"/>
    <x v="12"/>
    <x v="0"/>
    <x v="4"/>
    <x v="0"/>
    <x v="10"/>
    <s v="Zara"/>
    <x v="0"/>
    <x v="1"/>
    <x v="0"/>
    <s v="Ortega"/>
    <s v="Amancio"/>
    <x v="12"/>
    <x v="11"/>
    <n v="1936"/>
    <n v="3"/>
    <n v="28"/>
    <n v="110.96"/>
    <n v="1394116310769"/>
    <n v="83.3"/>
    <n v="14.2"/>
    <n v="47"/>
    <n v="47076781"/>
  </r>
  <r>
    <n v="14"/>
    <x v="13"/>
    <x v="2"/>
    <x v="1"/>
    <x v="1"/>
    <x v="11"/>
    <s v="Google"/>
    <x v="2"/>
    <x v="1"/>
    <x v="0"/>
    <s v="Brin"/>
    <s v="Sergey"/>
    <x v="13"/>
    <x v="12"/>
    <n v="1973"/>
    <n v="8"/>
    <n v="21"/>
    <n v="117.24"/>
    <n v="21427700000000"/>
    <n v="78.5"/>
    <n v="9.6"/>
    <n v="36.6"/>
    <n v="328239523"/>
  </r>
  <r>
    <n v="15"/>
    <x v="14"/>
    <x v="7"/>
    <x v="5"/>
    <x v="2"/>
    <x v="12"/>
    <s v="Beverages, pharmaceuticals"/>
    <x v="7"/>
    <x v="1"/>
    <x v="0"/>
    <s v="Zhong"/>
    <s v="Shanshan"/>
    <x v="14"/>
    <x v="13"/>
    <n v="1954"/>
    <n v="12"/>
    <n v="1"/>
    <n v="125.08"/>
    <n v="19910000000000"/>
    <n v="77"/>
    <n v="9.4"/>
    <n v="59.2"/>
    <n v="1397715000"/>
  </r>
  <r>
    <n v="16"/>
    <x v="15"/>
    <x v="2"/>
    <x v="1"/>
    <x v="1"/>
    <x v="9"/>
    <s v="Facebook"/>
    <x v="2"/>
    <x v="1"/>
    <x v="0"/>
    <s v="Zuckerberg"/>
    <s v="Mark"/>
    <x v="15"/>
    <x v="14"/>
    <n v="1984"/>
    <n v="5"/>
    <n v="14"/>
    <n v="117.24"/>
    <n v="21427700000000"/>
    <n v="78.5"/>
    <n v="9.6"/>
    <n v="36.6"/>
    <n v="328239523"/>
  </r>
  <r>
    <n v="17"/>
    <x v="16"/>
    <x v="6"/>
    <x v="1"/>
    <x v="1"/>
    <x v="13"/>
    <s v="Koch Industries"/>
    <x v="6"/>
    <x v="0"/>
    <x v="0"/>
    <s v="Koch"/>
    <s v="Charles"/>
    <x v="16"/>
    <x v="11"/>
    <n v="1935"/>
    <n v="11"/>
    <n v="1"/>
    <n v="117.24"/>
    <n v="21427700000000"/>
    <n v="78.5"/>
    <n v="9.6"/>
    <n v="36.6"/>
    <n v="328239523"/>
  </r>
  <r>
    <n v="17"/>
    <x v="17"/>
    <x v="6"/>
    <x v="1"/>
    <x v="1"/>
    <x v="5"/>
    <s v="Koch Industries"/>
    <x v="6"/>
    <x v="0"/>
    <x v="1"/>
    <s v="Koch"/>
    <s v="Julia"/>
    <x v="16"/>
    <x v="15"/>
    <n v="1962"/>
    <n v="4"/>
    <n v="12"/>
    <n v="117.24"/>
    <n v="21427700000000"/>
    <n v="78.5"/>
    <n v="9.6"/>
    <n v="36.6"/>
    <n v="328239523"/>
  </r>
  <r>
    <n v="19"/>
    <x v="18"/>
    <x v="0"/>
    <x v="1"/>
    <x v="1"/>
    <x v="14"/>
    <s v="Walmart"/>
    <x v="0"/>
    <x v="0"/>
    <x v="0"/>
    <s v="Walton"/>
    <s v="Jim"/>
    <x v="17"/>
    <x v="0"/>
    <n v="1948"/>
    <n v="6"/>
    <n v="7"/>
    <n v="117.24"/>
    <n v="21427700000000"/>
    <n v="78.5"/>
    <n v="9.6"/>
    <n v="36.6"/>
    <n v="328239523"/>
  </r>
  <r>
    <n v="20"/>
    <x v="19"/>
    <x v="0"/>
    <x v="1"/>
    <x v="1"/>
    <x v="14"/>
    <s v="Walmart"/>
    <x v="0"/>
    <x v="0"/>
    <x v="0"/>
    <s v="Walton"/>
    <s v="Rob"/>
    <x v="18"/>
    <x v="3"/>
    <n v="1944"/>
    <n v="10"/>
    <n v="27"/>
    <n v="117.24"/>
    <n v="21427700000000"/>
    <n v="78.5"/>
    <n v="9.6"/>
    <n v="36.6"/>
    <n v="328239523"/>
  </r>
  <r>
    <n v="21"/>
    <x v="20"/>
    <x v="0"/>
    <x v="1"/>
    <x v="1"/>
    <x v="15"/>
    <s v="Walmart"/>
    <x v="0"/>
    <x v="0"/>
    <x v="1"/>
    <s v="Walton"/>
    <s v="Alice"/>
    <x v="19"/>
    <x v="16"/>
    <n v="1949"/>
    <n v="10"/>
    <n v="7"/>
    <n v="117.24"/>
    <n v="21427700000000"/>
    <n v="78.5"/>
    <n v="9.6"/>
    <n v="36.6"/>
    <n v="328239523"/>
  </r>
  <r>
    <n v="22"/>
    <x v="21"/>
    <x v="4"/>
    <x v="6"/>
    <x v="1"/>
    <x v="16"/>
    <s v="Media"/>
    <x v="4"/>
    <x v="0"/>
    <x v="0"/>
    <s v="Thomson"/>
    <s v="David"/>
    <x v="20"/>
    <x v="8"/>
    <n v="1957"/>
    <n v="6"/>
    <n v="12"/>
    <n v="116.76"/>
    <n v="1736425629520"/>
    <n v="81.900000000000006"/>
    <n v="12.8"/>
    <n v="24.5"/>
    <n v="36991981"/>
  </r>
  <r>
    <n v="23"/>
    <x v="22"/>
    <x v="2"/>
    <x v="1"/>
    <x v="1"/>
    <x v="1"/>
    <s v="Dell Technologies"/>
    <x v="2"/>
    <x v="1"/>
    <x v="0"/>
    <s v="Dell"/>
    <s v="Michael"/>
    <x v="21"/>
    <x v="17"/>
    <n v="1965"/>
    <n v="2"/>
    <n v="23"/>
    <n v="117.24"/>
    <n v="21427700000000"/>
    <n v="78.5"/>
    <n v="9.6"/>
    <n v="36.6"/>
    <n v="328239523"/>
  </r>
  <r>
    <n v="24"/>
    <x v="23"/>
    <x v="6"/>
    <x v="3"/>
    <x v="2"/>
    <x v="17"/>
    <s v="Infrastructure, commodities"/>
    <x v="6"/>
    <x v="1"/>
    <x v="0"/>
    <s v="Adani"/>
    <s v="Gautam"/>
    <x v="22"/>
    <x v="15"/>
    <n v="1962"/>
    <n v="6"/>
    <n v="24"/>
    <n v="180.44"/>
    <n v="2611000000000"/>
    <n v="69.400000000000006"/>
    <n v="11.2"/>
    <n v="49.7"/>
    <n v="1366417754"/>
  </r>
  <r>
    <n v="25"/>
    <x v="24"/>
    <x v="0"/>
    <x v="1"/>
    <x v="1"/>
    <x v="18"/>
    <s v="Nike"/>
    <x v="0"/>
    <x v="1"/>
    <x v="0"/>
    <s v="Knight"/>
    <s v="Phil"/>
    <x v="23"/>
    <x v="18"/>
    <n v="1938"/>
    <n v="2"/>
    <n v="24"/>
    <n v="117.24"/>
    <n v="21427700000000"/>
    <n v="78.5"/>
    <n v="9.6"/>
    <n v="36.6"/>
    <n v="328239523"/>
  </r>
  <r>
    <n v="26"/>
    <x v="25"/>
    <x v="2"/>
    <x v="5"/>
    <x v="2"/>
    <x v="19"/>
    <s v="TikTok"/>
    <x v="2"/>
    <x v="1"/>
    <x v="0"/>
    <s v="Zhang"/>
    <s v="Yiming"/>
    <x v="24"/>
    <x v="19"/>
    <n v="1984"/>
    <n v="1"/>
    <n v="1"/>
    <n v="125.08"/>
    <n v="19910000000000"/>
    <n v="77"/>
    <n v="9.4"/>
    <n v="59.2"/>
    <n v="1397715000"/>
  </r>
  <r>
    <n v="27"/>
    <x v="26"/>
    <x v="0"/>
    <x v="7"/>
    <x v="0"/>
    <x v="20"/>
    <s v="Retail"/>
    <x v="0"/>
    <x v="0"/>
    <x v="0"/>
    <s v="Schwarz"/>
    <s v="Dieter"/>
    <x v="25"/>
    <x v="7"/>
    <n v="1939"/>
    <n v="9"/>
    <n v="24"/>
    <n v="112.85"/>
    <n v="3845630030824"/>
    <n v="80.900000000000006"/>
    <n v="11.5"/>
    <n v="48.8"/>
    <n v="83132799"/>
  </r>
  <r>
    <n v="28"/>
    <x v="27"/>
    <x v="0"/>
    <x v="0"/>
    <x v="0"/>
    <x v="0"/>
    <s v="Luxury goods"/>
    <x v="0"/>
    <x v="1"/>
    <x v="0"/>
    <s v="Pinault"/>
    <s v="François"/>
    <x v="26"/>
    <x v="20"/>
    <n v="1936"/>
    <n v="8"/>
    <n v="21"/>
    <n v="110.05"/>
    <n v="2715518274227"/>
    <n v="82.5"/>
    <n v="24.2"/>
    <n v="60.7"/>
    <n v="67059887"/>
  </r>
  <r>
    <n v="29"/>
    <x v="28"/>
    <x v="8"/>
    <x v="8"/>
    <x v="0"/>
    <x v="21"/>
    <s v="Shipping"/>
    <x v="8"/>
    <x v="0"/>
    <x v="0"/>
    <s v="Kuehne"/>
    <s v="Klaus-Michael"/>
    <x v="27"/>
    <x v="18"/>
    <n v="1937"/>
    <n v="6"/>
    <n v="2"/>
    <n v="99.55"/>
    <n v="703082435360"/>
    <n v="83.6"/>
    <n v="10.1"/>
    <n v="28.8"/>
    <n v="8574832"/>
  </r>
  <r>
    <n v="30"/>
    <x v="29"/>
    <x v="7"/>
    <x v="9"/>
    <x v="0"/>
    <x v="22"/>
    <s v="Nutella, chocolates"/>
    <x v="7"/>
    <x v="0"/>
    <x v="0"/>
    <s v="Ferrero"/>
    <s v="Giovanni"/>
    <x v="28"/>
    <x v="17"/>
    <n v="1964"/>
    <n v="9"/>
    <n v="21"/>
    <n v="117.11"/>
    <n v="529606710418"/>
    <n v="81.599999999999994"/>
    <n v="24"/>
    <n v="55.4"/>
    <n v="11484055"/>
  </r>
  <r>
    <n v="31"/>
    <x v="30"/>
    <x v="7"/>
    <x v="1"/>
    <x v="1"/>
    <x v="23"/>
    <s v="Candy, pet food"/>
    <x v="7"/>
    <x v="0"/>
    <x v="1"/>
    <s v="Mars"/>
    <s v="Jacqueline"/>
    <x v="29"/>
    <x v="7"/>
    <n v="1939"/>
    <n v="10"/>
    <n v="10"/>
    <n v="117.24"/>
    <n v="21427700000000"/>
    <n v="78.5"/>
    <n v="9.6"/>
    <n v="36.6"/>
    <n v="328239523"/>
  </r>
  <r>
    <n v="31"/>
    <x v="31"/>
    <x v="7"/>
    <x v="1"/>
    <x v="1"/>
    <x v="24"/>
    <s v="Candy, pet food"/>
    <x v="7"/>
    <x v="0"/>
    <x v="0"/>
    <s v="Mars"/>
    <s v="John"/>
    <x v="29"/>
    <x v="11"/>
    <n v="1935"/>
    <n v="10"/>
    <n v="15"/>
    <n v="117.24"/>
    <n v="21427700000000"/>
    <n v="78.5"/>
    <n v="9.6"/>
    <n v="36.6"/>
    <n v="328239523"/>
  </r>
  <r>
    <n v="34"/>
    <x v="32"/>
    <x v="2"/>
    <x v="5"/>
    <x v="2"/>
    <x v="25"/>
    <s v="Internet media"/>
    <x v="2"/>
    <x v="1"/>
    <x v="0"/>
    <s v="Ma"/>
    <s v="Huateng"/>
    <x v="30"/>
    <x v="1"/>
    <n v="1971"/>
    <n v="10"/>
    <n v="29"/>
    <n v="125.08"/>
    <n v="19910000000000"/>
    <n v="77"/>
    <n v="9.4"/>
    <n v="59.2"/>
    <n v="1397715000"/>
  </r>
  <r>
    <n v="35"/>
    <x v="33"/>
    <x v="9"/>
    <x v="1"/>
    <x v="1"/>
    <x v="26"/>
    <s v="Casinos"/>
    <x v="9"/>
    <x v="0"/>
    <x v="1"/>
    <s v="Adelson"/>
    <s v="Miriam"/>
    <x v="31"/>
    <x v="21"/>
    <n v="1945"/>
    <n v="10"/>
    <n v="10"/>
    <n v="117.24"/>
    <n v="21427700000000"/>
    <n v="78.5"/>
    <n v="9.6"/>
    <n v="36.6"/>
    <n v="328239523"/>
  </r>
  <r>
    <n v="35"/>
    <x v="34"/>
    <x v="3"/>
    <x v="1"/>
    <x v="1"/>
    <x v="27"/>
    <s v="Hedge funds"/>
    <x v="3"/>
    <x v="1"/>
    <x v="0"/>
    <s v="Griffin"/>
    <s v="Ken"/>
    <x v="31"/>
    <x v="22"/>
    <n v="1968"/>
    <n v="10"/>
    <n v="15"/>
    <n v="117.24"/>
    <n v="21427700000000"/>
    <n v="78.5"/>
    <n v="9.6"/>
    <n v="36.6"/>
    <n v="328239523"/>
  </r>
  <r>
    <n v="37"/>
    <x v="35"/>
    <x v="7"/>
    <x v="10"/>
    <x v="0"/>
    <x v="28"/>
    <s v="Red Bull"/>
    <x v="7"/>
    <x v="0"/>
    <x v="0"/>
    <s v="Mateschitz"/>
    <s v="Mark"/>
    <x v="32"/>
    <x v="23"/>
    <n v="1992"/>
    <n v="5"/>
    <n v="7"/>
    <n v="118.06"/>
    <n v="446314739528"/>
    <n v="81.599999999999994"/>
    <n v="25.4"/>
    <n v="51.4"/>
    <n v="8877067"/>
  </r>
  <r>
    <n v="38"/>
    <x v="36"/>
    <x v="1"/>
    <x v="5"/>
    <x v="2"/>
    <x v="29"/>
    <s v="Batteries"/>
    <x v="1"/>
    <x v="1"/>
    <x v="0"/>
    <s v="Zeng"/>
    <s v="Robin"/>
    <x v="33"/>
    <x v="22"/>
    <n v="1969"/>
    <n v="1"/>
    <n v="1"/>
    <n v="125.08"/>
    <n v="19910000000000"/>
    <n v="77"/>
    <n v="9.4"/>
    <n v="59.2"/>
    <n v="1397715000"/>
  </r>
  <r>
    <n v="39"/>
    <x v="37"/>
    <x v="0"/>
    <x v="11"/>
    <x v="2"/>
    <x v="30"/>
    <s v="Fashion retail"/>
    <x v="0"/>
    <x v="1"/>
    <x v="0"/>
    <s v="Yanai"/>
    <s v="Tadashi"/>
    <x v="34"/>
    <x v="0"/>
    <n v="1949"/>
    <n v="2"/>
    <n v="7"/>
    <n v="105.48"/>
    <n v="5081769542380"/>
    <n v="84.2"/>
    <n v="11.9"/>
    <n v="46.7"/>
    <n v="126226568"/>
  </r>
  <r>
    <n v="40"/>
    <x v="38"/>
    <x v="6"/>
    <x v="12"/>
    <x v="0"/>
    <x v="31"/>
    <s v="Music, chemicals"/>
    <x v="6"/>
    <x v="1"/>
    <x v="0"/>
    <s v="Blavatnik"/>
    <s v="Len"/>
    <x v="35"/>
    <x v="8"/>
    <n v="1957"/>
    <n v="6"/>
    <n v="1"/>
    <n v="119.62"/>
    <n v="2827113184696"/>
    <n v="81.3"/>
    <n v="25.5"/>
    <n v="30.6"/>
    <n v="66834405"/>
  </r>
  <r>
    <n v="41"/>
    <x v="39"/>
    <x v="0"/>
    <x v="1"/>
    <x v="1"/>
    <x v="5"/>
    <s v="Chanel"/>
    <x v="0"/>
    <x v="0"/>
    <x v="0"/>
    <s v="Wertheimer"/>
    <s v="Alain"/>
    <x v="36"/>
    <x v="0"/>
    <n v="1948"/>
    <n v="8"/>
    <n v="28"/>
    <n v="117.24"/>
    <n v="21427700000000"/>
    <n v="78.5"/>
    <n v="9.6"/>
    <n v="36.6"/>
    <n v="328239523"/>
  </r>
  <r>
    <n v="41"/>
    <x v="40"/>
    <x v="0"/>
    <x v="1"/>
    <x v="1"/>
    <x v="5"/>
    <s v="Chanel"/>
    <x v="0"/>
    <x v="0"/>
    <x v="0"/>
    <s v="Wertheimer"/>
    <s v="Gerard"/>
    <x v="36"/>
    <x v="24"/>
    <n v="1951"/>
    <n v="1"/>
    <n v="9"/>
    <n v="117.24"/>
    <n v="21427700000000"/>
    <n v="78.5"/>
    <n v="9.6"/>
    <n v="36.6"/>
    <n v="328239523"/>
  </r>
  <r>
    <n v="43"/>
    <x v="41"/>
    <x v="8"/>
    <x v="8"/>
    <x v="0"/>
    <x v="32"/>
    <s v="Shipping"/>
    <x v="8"/>
    <x v="1"/>
    <x v="0"/>
    <s v="Aponte"/>
    <s v="Gianluigi"/>
    <x v="37"/>
    <x v="25"/>
    <n v="1940"/>
    <n v="6"/>
    <n v="27"/>
    <n v="99.55"/>
    <n v="703082435360"/>
    <n v="83.6"/>
    <n v="10.1"/>
    <n v="28.8"/>
    <n v="8574832"/>
  </r>
  <r>
    <n v="43"/>
    <x v="42"/>
    <x v="8"/>
    <x v="8"/>
    <x v="0"/>
    <x v="32"/>
    <s v="Shipping"/>
    <x v="8"/>
    <x v="1"/>
    <x v="1"/>
    <s v="Aponte-Diamant"/>
    <s v="Rafaela"/>
    <x v="37"/>
    <x v="3"/>
    <n v="1945"/>
    <n v="3"/>
    <n v="26"/>
    <n v="99.55"/>
    <n v="703082435360"/>
    <n v="83.6"/>
    <n v="10.1"/>
    <n v="28.8"/>
    <n v="8574832"/>
  </r>
  <r>
    <n v="45"/>
    <x v="43"/>
    <x v="2"/>
    <x v="5"/>
    <x v="2"/>
    <x v="33"/>
    <s v="E-commerce"/>
    <x v="2"/>
    <x v="1"/>
    <x v="0"/>
    <s v="Huang"/>
    <s v="Colin Zheng"/>
    <x v="38"/>
    <x v="26"/>
    <n v="1980"/>
    <n v="2"/>
    <n v="2"/>
    <n v="125.08"/>
    <n v="19910000000000"/>
    <n v="77"/>
    <n v="9.4"/>
    <n v="59.2"/>
    <n v="1397715000"/>
  </r>
  <r>
    <n v="46"/>
    <x v="44"/>
    <x v="10"/>
    <x v="7"/>
    <x v="0"/>
    <x v="34"/>
    <s v="Fasteners"/>
    <x v="10"/>
    <x v="1"/>
    <x v="0"/>
    <s v="Wuerth"/>
    <s v="Reinhold"/>
    <x v="39"/>
    <x v="11"/>
    <n v="1935"/>
    <n v="4"/>
    <n v="20"/>
    <n v="112.85"/>
    <n v="3845630030824"/>
    <n v="80.900000000000006"/>
    <n v="11.5"/>
    <n v="48.8"/>
    <n v="83132799"/>
  </r>
  <r>
    <n v="48"/>
    <x v="45"/>
    <x v="3"/>
    <x v="1"/>
    <x v="1"/>
    <x v="35"/>
    <s v="Trading, investments"/>
    <x v="3"/>
    <x v="1"/>
    <x v="0"/>
    <s v="Yass"/>
    <s v="Jeff"/>
    <x v="40"/>
    <x v="27"/>
    <n v="1958"/>
    <n v="7"/>
    <n v="17"/>
    <n v="117.24"/>
    <n v="21427700000000"/>
    <n v="78.5"/>
    <n v="9.6"/>
    <n v="36.6"/>
    <n v="328239523"/>
  </r>
  <r>
    <n v="49"/>
    <x v="46"/>
    <x v="3"/>
    <x v="1"/>
    <x v="1"/>
    <x v="36"/>
    <s v="Hedge funds"/>
    <x v="3"/>
    <x v="1"/>
    <x v="0"/>
    <s v="Simons"/>
    <s v="Jim"/>
    <x v="41"/>
    <x v="28"/>
    <n v="1938"/>
    <n v="4"/>
    <n v="25"/>
    <n v="117.24"/>
    <n v="21427700000000"/>
    <n v="78.5"/>
    <n v="9.6"/>
    <n v="36.6"/>
    <n v="328239523"/>
  </r>
  <r>
    <n v="50"/>
    <x v="47"/>
    <x v="3"/>
    <x v="1"/>
    <x v="1"/>
    <x v="5"/>
    <s v="Investments"/>
    <x v="3"/>
    <x v="1"/>
    <x v="0"/>
    <s v="Schwarzman"/>
    <s v="Stephen"/>
    <x v="42"/>
    <x v="29"/>
    <n v="1947"/>
    <n v="2"/>
    <n v="14"/>
    <n v="117.24"/>
    <n v="21427700000000"/>
    <n v="78.5"/>
    <n v="9.6"/>
    <n v="36.6"/>
    <n v="328239523"/>
  </r>
  <r>
    <n v="51"/>
    <x v="48"/>
    <x v="1"/>
    <x v="7"/>
    <x v="0"/>
    <x v="37"/>
    <s v="BMW, pharmaceuticals"/>
    <x v="1"/>
    <x v="0"/>
    <x v="1"/>
    <s v="Klatten"/>
    <s v="Susanne"/>
    <x v="43"/>
    <x v="15"/>
    <n v="1962"/>
    <n v="4"/>
    <n v="28"/>
    <n v="112.85"/>
    <n v="3845630030824"/>
    <n v="80.900000000000006"/>
    <n v="11.5"/>
    <n v="48.8"/>
    <n v="83132799"/>
  </r>
  <r>
    <n v="52"/>
    <x v="49"/>
    <x v="11"/>
    <x v="13"/>
    <x v="2"/>
    <x v="38"/>
    <s v="Mining"/>
    <x v="11"/>
    <x v="0"/>
    <x v="1"/>
    <s v="Rinehart"/>
    <s v="Gina"/>
    <x v="44"/>
    <x v="9"/>
    <n v="1954"/>
    <n v="2"/>
    <n v="9"/>
    <n v="119.8"/>
    <n v="1392680589329"/>
    <n v="82.7"/>
    <n v="23"/>
    <n v="47.4"/>
    <n v="25766605"/>
  </r>
  <r>
    <n v="53"/>
    <x v="50"/>
    <x v="2"/>
    <x v="5"/>
    <x v="2"/>
    <x v="12"/>
    <s v="Online games"/>
    <x v="2"/>
    <x v="1"/>
    <x v="0"/>
    <s v="Ding"/>
    <s v="William"/>
    <x v="45"/>
    <x v="1"/>
    <n v="1971"/>
    <n v="10"/>
    <n v="1"/>
    <n v="125.08"/>
    <n v="19910000000000"/>
    <n v="77"/>
    <n v="9.4"/>
    <n v="59.2"/>
    <n v="1397715000"/>
  </r>
  <r>
    <n v="54"/>
    <x v="51"/>
    <x v="11"/>
    <x v="2"/>
    <x v="1"/>
    <x v="6"/>
    <s v="Mining"/>
    <x v="11"/>
    <x v="0"/>
    <x v="0"/>
    <s v="Larrea Mota Velasco"/>
    <s v="Germán"/>
    <x v="46"/>
    <x v="9"/>
    <n v="1953"/>
    <n v="10"/>
    <n v="26"/>
    <n v="141.54"/>
    <n v="1258286717125"/>
    <n v="75"/>
    <n v="13.1"/>
    <n v="55.1"/>
    <n v="126014024"/>
  </r>
  <r>
    <n v="55"/>
    <x v="52"/>
    <x v="2"/>
    <x v="3"/>
    <x v="2"/>
    <x v="39"/>
    <s v="software services"/>
    <x v="2"/>
    <x v="1"/>
    <x v="0"/>
    <s v="Nadar"/>
    <s v="Shiv"/>
    <x v="47"/>
    <x v="21"/>
    <n v="1945"/>
    <n v="7"/>
    <n v="18"/>
    <n v="180.44"/>
    <n v="2611000000000"/>
    <n v="69.400000000000006"/>
    <n v="11.2"/>
    <n v="49.7"/>
    <n v="1366417754"/>
  </r>
  <r>
    <n v="56"/>
    <x v="53"/>
    <x v="12"/>
    <x v="14"/>
    <x v="2"/>
    <x v="40"/>
    <s v="Coal"/>
    <x v="12"/>
    <x v="1"/>
    <x v="0"/>
    <s v="Low Tuck"/>
    <s v="Kwong"/>
    <x v="48"/>
    <x v="0"/>
    <n v="1948"/>
    <n v="4"/>
    <n v="17"/>
    <n v="151.18"/>
    <n v="1119190780753"/>
    <n v="71.5"/>
    <n v="10.199999999999999"/>
    <n v="30.1"/>
    <n v="270203917"/>
  </r>
  <r>
    <n v="57"/>
    <x v="54"/>
    <x v="3"/>
    <x v="1"/>
    <x v="1"/>
    <x v="41"/>
    <s v="Discount brokerage"/>
    <x v="3"/>
    <x v="1"/>
    <x v="0"/>
    <s v="Peterffy"/>
    <s v="Thomas"/>
    <x v="49"/>
    <x v="3"/>
    <n v="1944"/>
    <n v="9"/>
    <n v="30"/>
    <n v="117.24"/>
    <n v="21427700000000"/>
    <n v="78.5"/>
    <n v="9.6"/>
    <n v="36.6"/>
    <n v="328239523"/>
  </r>
  <r>
    <n v="58"/>
    <x v="55"/>
    <x v="11"/>
    <x v="15"/>
    <x v="0"/>
    <x v="42"/>
    <s v="Fertilizers, coal"/>
    <x v="11"/>
    <x v="1"/>
    <x v="0"/>
    <s v="Melnichenko"/>
    <s v="Andrey"/>
    <x v="50"/>
    <x v="1"/>
    <n v="1972"/>
    <n v="3"/>
    <n v="8"/>
    <n v="114.52"/>
    <n v="421142267938"/>
    <n v="77.8"/>
    <n v="0.1"/>
    <n v="15.9"/>
    <n v="9770529"/>
  </r>
  <r>
    <n v="59"/>
    <x v="56"/>
    <x v="1"/>
    <x v="7"/>
    <x v="0"/>
    <x v="43"/>
    <s v="BMW"/>
    <x v="1"/>
    <x v="0"/>
    <x v="0"/>
    <s v="Quandt"/>
    <s v="Stefan"/>
    <x v="51"/>
    <x v="30"/>
    <n v="1966"/>
    <n v="5"/>
    <n v="9"/>
    <n v="112.85"/>
    <n v="3845630030824"/>
    <n v="80.900000000000006"/>
    <n v="11.5"/>
    <n v="48.8"/>
    <n v="83132799"/>
  </r>
  <r>
    <n v="60"/>
    <x v="57"/>
    <x v="2"/>
    <x v="1"/>
    <x v="1"/>
    <x v="44"/>
    <s v="Amazon"/>
    <x v="2"/>
    <x v="0"/>
    <x v="1"/>
    <s v="Scott"/>
    <s v="MacKenzie"/>
    <x v="52"/>
    <x v="31"/>
    <n v="1970"/>
    <n v="4"/>
    <n v="7"/>
    <n v="117.24"/>
    <n v="21427700000000"/>
    <n v="78.5"/>
    <n v="9.6"/>
    <n v="36.6"/>
    <n v="328239523"/>
  </r>
  <r>
    <n v="61"/>
    <x v="58"/>
    <x v="3"/>
    <x v="14"/>
    <x v="2"/>
    <x v="45"/>
    <s v="Banking, tobacco"/>
    <x v="3"/>
    <x v="0"/>
    <x v="0"/>
    <s v="Hartono"/>
    <s v="R. Budi"/>
    <x v="53"/>
    <x v="25"/>
    <n v="1941"/>
    <n v="1"/>
    <n v="1"/>
    <n v="151.18"/>
    <n v="1119190780753"/>
    <n v="71.5"/>
    <n v="10.199999999999999"/>
    <n v="30.1"/>
    <n v="270203917"/>
  </r>
  <r>
    <n v="62"/>
    <x v="59"/>
    <x v="11"/>
    <x v="16"/>
    <x v="0"/>
    <x v="46"/>
    <s v="Metals"/>
    <x v="11"/>
    <x v="1"/>
    <x v="0"/>
    <s v="Potanin"/>
    <s v="Vladimir"/>
    <x v="54"/>
    <x v="32"/>
    <n v="1961"/>
    <n v="1"/>
    <n v="3"/>
    <n v="180.75"/>
    <n v="1699876578871"/>
    <n v="72.7"/>
    <n v="11.4"/>
    <n v="46.2"/>
    <n v="144373535"/>
  </r>
  <r>
    <n v="63"/>
    <x v="60"/>
    <x v="2"/>
    <x v="5"/>
    <x v="2"/>
    <x v="12"/>
    <s v="E-commerce"/>
    <x v="2"/>
    <x v="1"/>
    <x v="0"/>
    <s v="Ma"/>
    <s v="Jack"/>
    <x v="55"/>
    <x v="17"/>
    <n v="1964"/>
    <n v="9"/>
    <n v="10"/>
    <n v="125.08"/>
    <n v="19910000000000"/>
    <n v="77"/>
    <n v="9.4"/>
    <n v="59.2"/>
    <n v="1397715000"/>
  </r>
  <r>
    <n v="64"/>
    <x v="61"/>
    <x v="10"/>
    <x v="5"/>
    <x v="2"/>
    <x v="47"/>
    <s v="Home appliances"/>
    <x v="10"/>
    <x v="1"/>
    <x v="0"/>
    <s v="He"/>
    <s v="Xiangjian"/>
    <x v="56"/>
    <x v="33"/>
    <n v="1942"/>
    <n v="8"/>
    <n v="11"/>
    <n v="125.08"/>
    <n v="19910000000000"/>
    <n v="77"/>
    <n v="9.4"/>
    <n v="59.2"/>
    <n v="1397715000"/>
  </r>
  <r>
    <n v="65"/>
    <x v="62"/>
    <x v="11"/>
    <x v="17"/>
    <x v="3"/>
    <x v="48"/>
    <s v="Mining"/>
    <x v="11"/>
    <x v="0"/>
    <x v="1"/>
    <s v="Fontbona"/>
    <s v="Iris"/>
    <x v="57"/>
    <x v="33"/>
    <n v="1943"/>
    <n v="1"/>
    <n v="1"/>
    <n v="131.91"/>
    <n v="282318159745"/>
    <n v="80"/>
    <n v="18.2"/>
    <n v="34"/>
    <n v="18952038"/>
  </r>
  <r>
    <n v="65"/>
    <x v="63"/>
    <x v="10"/>
    <x v="14"/>
    <x v="2"/>
    <x v="45"/>
    <s v="Banking, tobacco"/>
    <x v="10"/>
    <x v="0"/>
    <x v="0"/>
    <s v="Hartono"/>
    <s v="Michael"/>
    <x v="57"/>
    <x v="7"/>
    <n v="1939"/>
    <n v="10"/>
    <n v="2"/>
    <n v="151.18"/>
    <n v="1119190780753"/>
    <n v="71.5"/>
    <n v="10.199999999999999"/>
    <n v="30.1"/>
    <n v="270203917"/>
  </r>
  <r>
    <n v="67"/>
    <x v="64"/>
    <x v="10"/>
    <x v="12"/>
    <x v="0"/>
    <x v="31"/>
    <s v="Chemicals"/>
    <x v="10"/>
    <x v="1"/>
    <x v="0"/>
    <s v="Ratcliffe"/>
    <s v="James"/>
    <x v="58"/>
    <x v="34"/>
    <n v="1953"/>
    <n v="1"/>
    <n v="1"/>
    <n v="119.62"/>
    <n v="2827113184696"/>
    <n v="81.3"/>
    <n v="25.5"/>
    <n v="30.6"/>
    <n v="66834405"/>
  </r>
  <r>
    <n v="68"/>
    <x v="65"/>
    <x v="13"/>
    <x v="3"/>
    <x v="2"/>
    <x v="49"/>
    <s v="Vaccines"/>
    <x v="13"/>
    <x v="0"/>
    <x v="0"/>
    <s v="Poonawalla"/>
    <s v="Cyrus"/>
    <x v="59"/>
    <x v="6"/>
    <n v="1941"/>
    <n v="5"/>
    <n v="11"/>
    <n v="180.44"/>
    <n v="2611000000000"/>
    <n v="69.400000000000006"/>
    <n v="11.2"/>
    <n v="49.7"/>
    <n v="1366417754"/>
  </r>
  <r>
    <n v="69"/>
    <x v="66"/>
    <x v="5"/>
    <x v="11"/>
    <x v="2"/>
    <x v="30"/>
    <s v="Internet, telecom"/>
    <x v="5"/>
    <x v="1"/>
    <x v="0"/>
    <s v="Son"/>
    <s v="Masayoshi"/>
    <x v="60"/>
    <x v="8"/>
    <n v="1957"/>
    <n v="8"/>
    <n v="11"/>
    <n v="105.48"/>
    <n v="5081769542380"/>
    <n v="84.2"/>
    <n v="11.9"/>
    <n v="46.7"/>
    <n v="126226568"/>
  </r>
  <r>
    <n v="70"/>
    <x v="67"/>
    <x v="11"/>
    <x v="16"/>
    <x v="0"/>
    <x v="46"/>
    <s v="Steel, transport"/>
    <x v="11"/>
    <x v="1"/>
    <x v="0"/>
    <s v="Lisin"/>
    <s v="Vladimir"/>
    <x v="61"/>
    <x v="35"/>
    <n v="1956"/>
    <n v="5"/>
    <n v="7"/>
    <n v="180.75"/>
    <n v="1699876578871"/>
    <n v="72.7"/>
    <n v="11.4"/>
    <n v="46.2"/>
    <n v="144373535"/>
  </r>
  <r>
    <n v="71"/>
    <x v="68"/>
    <x v="7"/>
    <x v="0"/>
    <x v="0"/>
    <x v="50"/>
    <s v="Cheese"/>
    <x v="7"/>
    <x v="0"/>
    <x v="0"/>
    <s v="Besnier"/>
    <s v="Emmanuel"/>
    <x v="62"/>
    <x v="31"/>
    <n v="1970"/>
    <n v="9"/>
    <n v="18"/>
    <n v="110.05"/>
    <n v="2715518274227"/>
    <n v="82.5"/>
    <n v="24.2"/>
    <n v="60.7"/>
    <n v="67059887"/>
  </r>
  <r>
    <n v="72"/>
    <x v="69"/>
    <x v="3"/>
    <x v="1"/>
    <x v="1"/>
    <x v="51"/>
    <s v="Fidelity"/>
    <x v="3"/>
    <x v="0"/>
    <x v="1"/>
    <s v="Johnson"/>
    <s v="Abigail"/>
    <x v="63"/>
    <x v="36"/>
    <n v="1961"/>
    <n v="12"/>
    <n v="19"/>
    <n v="117.24"/>
    <n v="21427700000000"/>
    <n v="78.5"/>
    <n v="9.6"/>
    <n v="36.6"/>
    <n v="328239523"/>
  </r>
  <r>
    <n v="72"/>
    <x v="70"/>
    <x v="12"/>
    <x v="16"/>
    <x v="0"/>
    <x v="46"/>
    <s v="Gas, chemicals"/>
    <x v="12"/>
    <x v="1"/>
    <x v="0"/>
    <s v="Mikhelson"/>
    <s v="Leonid"/>
    <x v="63"/>
    <x v="5"/>
    <n v="1955"/>
    <n v="8"/>
    <n v="11"/>
    <n v="180.75"/>
    <n v="1699876578871"/>
    <n v="72.7"/>
    <n v="11.4"/>
    <n v="46.2"/>
    <n v="144373535"/>
  </r>
  <r>
    <n v="74"/>
    <x v="71"/>
    <x v="0"/>
    <x v="1"/>
    <x v="1"/>
    <x v="52"/>
    <s v="Walmart"/>
    <x v="0"/>
    <x v="0"/>
    <x v="0"/>
    <s v="Walton"/>
    <s v="Lukas"/>
    <x v="64"/>
    <x v="37"/>
    <n v="1986"/>
    <n v="9"/>
    <n v="19"/>
    <n v="117.24"/>
    <n v="21427700000000"/>
    <n v="78.5"/>
    <n v="9.6"/>
    <n v="36.6"/>
    <n v="328239523"/>
  </r>
  <r>
    <n v="74"/>
    <x v="72"/>
    <x v="14"/>
    <x v="5"/>
    <x v="2"/>
    <x v="25"/>
    <s v="Package delivery"/>
    <x v="14"/>
    <x v="1"/>
    <x v="0"/>
    <s v="Wang"/>
    <s v="Wei"/>
    <x v="64"/>
    <x v="31"/>
    <n v="1970"/>
    <n v="10"/>
    <n v="1"/>
    <n v="125.08"/>
    <n v="19910000000000"/>
    <n v="77"/>
    <n v="9.4"/>
    <n v="59.2"/>
    <n v="1397715000"/>
  </r>
  <r>
    <n v="76"/>
    <x v="73"/>
    <x v="2"/>
    <x v="1"/>
    <x v="1"/>
    <x v="11"/>
    <s v="Semiconductors"/>
    <x v="2"/>
    <x v="1"/>
    <x v="0"/>
    <s v="Huang"/>
    <s v="Jensen"/>
    <x v="65"/>
    <x v="15"/>
    <n v="1963"/>
    <n v="2"/>
    <n v="17"/>
    <n v="117.24"/>
    <n v="21427700000000"/>
    <n v="78.5"/>
    <n v="9.6"/>
    <n v="36.6"/>
    <n v="328239523"/>
  </r>
  <r>
    <n v="77"/>
    <x v="74"/>
    <x v="0"/>
    <x v="1"/>
    <x v="1"/>
    <x v="5"/>
    <s v="Estee Lauder"/>
    <x v="0"/>
    <x v="0"/>
    <x v="0"/>
    <s v="Lauder"/>
    <s v="Leonard"/>
    <x v="66"/>
    <x v="38"/>
    <n v="1933"/>
    <n v="3"/>
    <n v="19"/>
    <n v="117.24"/>
    <n v="21427700000000"/>
    <n v="78.5"/>
    <n v="9.6"/>
    <n v="36.6"/>
    <n v="328239523"/>
  </r>
  <r>
    <n v="77"/>
    <x v="75"/>
    <x v="10"/>
    <x v="11"/>
    <x v="2"/>
    <x v="53"/>
    <s v="Sensors"/>
    <x v="10"/>
    <x v="1"/>
    <x v="0"/>
    <s v="Takizaki"/>
    <s v="Takemitsu"/>
    <x v="66"/>
    <x v="21"/>
    <n v="1945"/>
    <n v="6"/>
    <n v="10"/>
    <n v="105.48"/>
    <n v="5081769542380"/>
    <n v="84.2"/>
    <n v="11.9"/>
    <n v="46.7"/>
    <n v="126226568"/>
  </r>
  <r>
    <n v="79"/>
    <x v="76"/>
    <x v="11"/>
    <x v="16"/>
    <x v="0"/>
    <x v="46"/>
    <s v="Steel, investments"/>
    <x v="11"/>
    <x v="1"/>
    <x v="0"/>
    <s v="Mordashov"/>
    <s v="Alexey"/>
    <x v="67"/>
    <x v="39"/>
    <n v="1965"/>
    <n v="9"/>
    <n v="26"/>
    <n v="180.75"/>
    <n v="1699876578871"/>
    <n v="72.7"/>
    <n v="11.4"/>
    <n v="46.2"/>
    <n v="144373535"/>
  </r>
  <r>
    <n v="80"/>
    <x v="77"/>
    <x v="12"/>
    <x v="16"/>
    <x v="0"/>
    <x v="46"/>
    <s v="Oil"/>
    <x v="12"/>
    <x v="1"/>
    <x v="0"/>
    <s v="Alekperov"/>
    <s v="Vagit"/>
    <x v="68"/>
    <x v="24"/>
    <n v="1950"/>
    <n v="9"/>
    <n v="1"/>
    <n v="180.75"/>
    <n v="1699876578871"/>
    <n v="72.7"/>
    <n v="11.4"/>
    <n v="46.2"/>
    <n v="144373535"/>
  </r>
  <r>
    <n v="81"/>
    <x v="78"/>
    <x v="13"/>
    <x v="1"/>
    <x v="1"/>
    <x v="54"/>
    <s v="Hospitals"/>
    <x v="13"/>
    <x v="1"/>
    <x v="0"/>
    <s v="Frist"/>
    <s v="Thomas"/>
    <x v="69"/>
    <x v="28"/>
    <n v="1938"/>
    <n v="8"/>
    <n v="12"/>
    <n v="117.24"/>
    <n v="21427700000000"/>
    <n v="78.5"/>
    <n v="9.6"/>
    <n v="36.6"/>
    <n v="328239523"/>
  </r>
  <r>
    <n v="82"/>
    <x v="79"/>
    <x v="11"/>
    <x v="13"/>
    <x v="2"/>
    <x v="38"/>
    <s v="Mining"/>
    <x v="11"/>
    <x v="1"/>
    <x v="0"/>
    <s v="Forrest"/>
    <s v="Andrew"/>
    <x v="70"/>
    <x v="36"/>
    <n v="1961"/>
    <n v="11"/>
    <n v="18"/>
    <n v="119.8"/>
    <n v="1392680589329"/>
    <n v="82.7"/>
    <n v="23"/>
    <n v="47.4"/>
    <n v="25766605"/>
  </r>
  <r>
    <n v="83"/>
    <x v="80"/>
    <x v="3"/>
    <x v="1"/>
    <x v="1"/>
    <x v="55"/>
    <s v="Hedge funds"/>
    <x v="3"/>
    <x v="1"/>
    <x v="0"/>
    <s v="Dalio"/>
    <s v="Ray"/>
    <x v="71"/>
    <x v="16"/>
    <n v="1949"/>
    <n v="8"/>
    <n v="8"/>
    <n v="117.24"/>
    <n v="21427700000000"/>
    <n v="78.5"/>
    <n v="9.6"/>
    <n v="36.6"/>
    <n v="328239523"/>
  </r>
  <r>
    <n v="84"/>
    <x v="81"/>
    <x v="1"/>
    <x v="5"/>
    <x v="2"/>
    <x v="12"/>
    <s v="Automobiles"/>
    <x v="1"/>
    <x v="1"/>
    <x v="0"/>
    <s v="Li"/>
    <s v="Eric"/>
    <x v="72"/>
    <x v="2"/>
    <n v="1963"/>
    <n v="6"/>
    <n v="1"/>
    <n v="125.08"/>
    <n v="19910000000000"/>
    <n v="77"/>
    <n v="9.4"/>
    <n v="59.2"/>
    <n v="1397715000"/>
  </r>
  <r>
    <n v="84"/>
    <x v="82"/>
    <x v="11"/>
    <x v="5"/>
    <x v="2"/>
    <x v="25"/>
    <s v="Mining, copper products"/>
    <x v="11"/>
    <x v="1"/>
    <x v="0"/>
    <s v="Wang"/>
    <s v="Wenyin"/>
    <x v="72"/>
    <x v="40"/>
    <n v="1968"/>
    <n v="3"/>
    <n v="1"/>
    <n v="125.08"/>
    <n v="19910000000000"/>
    <n v="77"/>
    <n v="9.4"/>
    <n v="59.2"/>
    <n v="1397715000"/>
  </r>
  <r>
    <n v="86"/>
    <x v="83"/>
    <x v="7"/>
    <x v="5"/>
    <x v="2"/>
    <x v="56"/>
    <s v="Pig breeding"/>
    <x v="7"/>
    <x v="1"/>
    <x v="0"/>
    <s v="Qin"/>
    <s v="Yinglin"/>
    <x v="73"/>
    <x v="39"/>
    <n v="1965"/>
    <n v="4"/>
    <n v="17"/>
    <n v="125.08"/>
    <n v="19910000000000"/>
    <n v="77"/>
    <n v="9.4"/>
    <n v="59.2"/>
    <n v="1397715000"/>
  </r>
  <r>
    <n v="88"/>
    <x v="84"/>
    <x v="1"/>
    <x v="5"/>
    <x v="2"/>
    <x v="25"/>
    <s v="Batteries, automobiles"/>
    <x v="1"/>
    <x v="1"/>
    <x v="0"/>
    <s v="Wang"/>
    <s v="Chuanfu"/>
    <x v="74"/>
    <x v="39"/>
    <n v="1966"/>
    <n v="2"/>
    <n v="15"/>
    <n v="125.08"/>
    <n v="19910000000000"/>
    <n v="77"/>
    <n v="9.4"/>
    <n v="59.2"/>
    <n v="1397715000"/>
  </r>
  <r>
    <n v="89"/>
    <x v="85"/>
    <x v="12"/>
    <x v="1"/>
    <x v="1"/>
    <x v="57"/>
    <s v="Oil &amp; gas"/>
    <x v="12"/>
    <x v="1"/>
    <x v="0"/>
    <s v="Hamm"/>
    <s v="Harold"/>
    <x v="75"/>
    <x v="21"/>
    <n v="1945"/>
    <n v="12"/>
    <n v="11"/>
    <n v="117.24"/>
    <n v="21427700000000"/>
    <n v="78.5"/>
    <n v="9.6"/>
    <n v="36.6"/>
    <n v="328239523"/>
  </r>
  <r>
    <n v="89"/>
    <x v="86"/>
    <x v="3"/>
    <x v="1"/>
    <x v="1"/>
    <x v="41"/>
    <s v="Hedge funds"/>
    <x v="3"/>
    <x v="1"/>
    <x v="0"/>
    <s v="Tepper"/>
    <s v="David"/>
    <x v="75"/>
    <x v="8"/>
    <n v="1957"/>
    <n v="9"/>
    <n v="11"/>
    <n v="117.24"/>
    <n v="21427700000000"/>
    <n v="78.5"/>
    <n v="9.6"/>
    <n v="36.6"/>
    <n v="328239523"/>
  </r>
  <r>
    <n v="89"/>
    <x v="87"/>
    <x v="12"/>
    <x v="16"/>
    <x v="0"/>
    <x v="46"/>
    <s v="Oil, gas"/>
    <x v="12"/>
    <x v="1"/>
    <x v="0"/>
    <s v="Timchenko"/>
    <s v="Gennady"/>
    <x v="75"/>
    <x v="34"/>
    <n v="1952"/>
    <n v="11"/>
    <n v="9"/>
    <n v="180.75"/>
    <n v="1699876578871"/>
    <n v="72.7"/>
    <n v="11.4"/>
    <n v="46.2"/>
    <n v="144373535"/>
  </r>
  <r>
    <n v="92"/>
    <x v="88"/>
    <x v="3"/>
    <x v="1"/>
    <x v="1"/>
    <x v="58"/>
    <s v="Quicken Loans"/>
    <x v="3"/>
    <x v="1"/>
    <x v="0"/>
    <s v="Gilbert"/>
    <s v="Daniel"/>
    <x v="76"/>
    <x v="36"/>
    <n v="1962"/>
    <n v="1"/>
    <n v="17"/>
    <n v="117.24"/>
    <n v="21427700000000"/>
    <n v="78.5"/>
    <n v="9.6"/>
    <n v="36.6"/>
    <n v="328239523"/>
  </r>
  <r>
    <n v="93"/>
    <x v="89"/>
    <x v="11"/>
    <x v="12"/>
    <x v="0"/>
    <x v="31"/>
    <s v="Steel"/>
    <x v="11"/>
    <x v="0"/>
    <x v="0"/>
    <s v="Mittal"/>
    <s v="Lakshmi"/>
    <x v="77"/>
    <x v="24"/>
    <n v="1950"/>
    <n v="6"/>
    <n v="15"/>
    <n v="119.62"/>
    <n v="2827113184696"/>
    <n v="81.3"/>
    <n v="25.5"/>
    <n v="30.6"/>
    <n v="66834405"/>
  </r>
  <r>
    <n v="94"/>
    <x v="90"/>
    <x v="3"/>
    <x v="1"/>
    <x v="1"/>
    <x v="55"/>
    <s v="Hedge funds"/>
    <x v="3"/>
    <x v="1"/>
    <x v="0"/>
    <s v="Cohen"/>
    <s v="Steve"/>
    <x v="78"/>
    <x v="35"/>
    <n v="1956"/>
    <n v="6"/>
    <n v="11"/>
    <n v="117.24"/>
    <n v="21427700000000"/>
    <n v="78.5"/>
    <n v="9.6"/>
    <n v="36.6"/>
    <n v="328239523"/>
  </r>
  <r>
    <n v="94"/>
    <x v="91"/>
    <x v="3"/>
    <x v="1"/>
    <x v="1"/>
    <x v="59"/>
    <s v="Investments"/>
    <x v="3"/>
    <x v="1"/>
    <x v="0"/>
    <s v="Icahn"/>
    <s v="Carl"/>
    <x v="78"/>
    <x v="11"/>
    <n v="1936"/>
    <n v="2"/>
    <n v="16"/>
    <n v="117.24"/>
    <n v="21427700000000"/>
    <n v="78.5"/>
    <n v="9.6"/>
    <n v="36.6"/>
    <n v="328239523"/>
  </r>
  <r>
    <n v="94"/>
    <x v="92"/>
    <x v="11"/>
    <x v="3"/>
    <x v="2"/>
    <x v="60"/>
    <s v="Steel"/>
    <x v="11"/>
    <x v="0"/>
    <x v="1"/>
    <s v="Jindal"/>
    <s v="Savitri"/>
    <x v="78"/>
    <x v="16"/>
    <n v="1950"/>
    <n v="3"/>
    <n v="20"/>
    <n v="180.44"/>
    <n v="2611000000000"/>
    <n v="69.400000000000006"/>
    <n v="11.2"/>
    <n v="49.7"/>
    <n v="1366417754"/>
  </r>
  <r>
    <n v="97"/>
    <x v="93"/>
    <x v="15"/>
    <x v="1"/>
    <x v="1"/>
    <x v="61"/>
    <s v="Real estate"/>
    <x v="15"/>
    <x v="1"/>
    <x v="0"/>
    <s v="Bren"/>
    <s v="Donald"/>
    <x v="79"/>
    <x v="38"/>
    <n v="1932"/>
    <n v="5"/>
    <n v="11"/>
    <n v="117.24"/>
    <n v="21427700000000"/>
    <n v="78.5"/>
    <n v="9.6"/>
    <n v="36.6"/>
    <n v="328239523"/>
  </r>
  <r>
    <n v="97"/>
    <x v="94"/>
    <x v="0"/>
    <x v="1"/>
    <x v="1"/>
    <x v="62"/>
    <s v="Home improvement stores"/>
    <x v="0"/>
    <x v="1"/>
    <x v="0"/>
    <s v="Menard"/>
    <s v="John"/>
    <x v="79"/>
    <x v="7"/>
    <n v="1940"/>
    <n v="1"/>
    <n v="22"/>
    <n v="117.24"/>
    <n v="21427700000000"/>
    <n v="78.5"/>
    <n v="9.6"/>
    <n v="36.6"/>
    <n v="328239523"/>
  </r>
  <r>
    <n v="99"/>
    <x v="95"/>
    <x v="4"/>
    <x v="1"/>
    <x v="1"/>
    <x v="5"/>
    <s v="Newspapers, TV network"/>
    <x v="4"/>
    <x v="0"/>
    <x v="0"/>
    <s v="Murdoch"/>
    <s v="Rupert"/>
    <x v="80"/>
    <x v="4"/>
    <n v="1931"/>
    <n v="3"/>
    <n v="11"/>
    <n v="117.24"/>
    <n v="21427700000000"/>
    <n v="78.5"/>
    <n v="9.6"/>
    <n v="36.6"/>
    <n v="328239523"/>
  </r>
  <r>
    <n v="100"/>
    <x v="96"/>
    <x v="3"/>
    <x v="8"/>
    <x v="0"/>
    <x v="63"/>
    <s v="Banking"/>
    <x v="3"/>
    <x v="0"/>
    <x v="1"/>
    <s v="Safra"/>
    <s v="Vicky"/>
    <x v="81"/>
    <x v="34"/>
    <n v="1953"/>
    <n v="1"/>
    <n v="1"/>
    <n v="99.55"/>
    <n v="703082435360"/>
    <n v="83.6"/>
    <n v="10.1"/>
    <n v="28.8"/>
    <n v="8574832"/>
  </r>
  <r>
    <n v="101"/>
    <x v="97"/>
    <x v="0"/>
    <x v="7"/>
    <x v="0"/>
    <x v="64"/>
    <s v="Aldi, Trader Joe's"/>
    <x v="0"/>
    <x v="0"/>
    <x v="0"/>
    <s v="Albrecht"/>
    <s v="Theo"/>
    <x v="82"/>
    <x v="24"/>
    <n v="1951"/>
    <n v="1"/>
    <n v="1"/>
    <n v="112.85"/>
    <n v="3845630030824"/>
    <n v="80.900000000000006"/>
    <n v="11.5"/>
    <n v="48.8"/>
    <n v="83132799"/>
  </r>
  <r>
    <n v="101"/>
    <x v="98"/>
    <x v="3"/>
    <x v="18"/>
    <x v="0"/>
    <x v="65"/>
    <s v="Finance, telecommunications"/>
    <x v="3"/>
    <x v="0"/>
    <x v="1"/>
    <s v="Kellnerova"/>
    <s v="Renata"/>
    <x v="82"/>
    <x v="40"/>
    <n v="1967"/>
    <n v="7"/>
    <n v="4"/>
    <n v="116.48"/>
    <n v="246489245495"/>
    <n v="79"/>
    <n v="14.9"/>
    <n v="46.1"/>
    <n v="10669709"/>
  </r>
  <r>
    <n v="103"/>
    <x v="99"/>
    <x v="13"/>
    <x v="5"/>
    <x v="2"/>
    <x v="25"/>
    <s v="medical devices"/>
    <x v="13"/>
    <x v="1"/>
    <x v="0"/>
    <s v="Li"/>
    <s v="Xiting"/>
    <x v="83"/>
    <x v="24"/>
    <n v="1951"/>
    <n v="1"/>
    <n v="1"/>
    <n v="125.08"/>
    <n v="19910000000000"/>
    <n v="77"/>
    <n v="9.4"/>
    <n v="59.2"/>
    <n v="1397715000"/>
  </r>
  <r>
    <n v="104"/>
    <x v="100"/>
    <x v="0"/>
    <x v="19"/>
    <x v="0"/>
    <x v="66"/>
    <s v="H&amp;M"/>
    <x v="0"/>
    <x v="0"/>
    <x v="0"/>
    <s v="Persson"/>
    <s v="Stefan"/>
    <x v="84"/>
    <x v="41"/>
    <n v="1947"/>
    <n v="10"/>
    <n v="4"/>
    <n v="110.51"/>
    <n v="530832908738"/>
    <n v="82.5"/>
    <n v="27.9"/>
    <n v="49.1"/>
    <n v="10285453"/>
  </r>
  <r>
    <n v="104"/>
    <x v="101"/>
    <x v="2"/>
    <x v="1"/>
    <x v="1"/>
    <x v="67"/>
    <s v="Google"/>
    <x v="2"/>
    <x v="1"/>
    <x v="0"/>
    <s v="Schmidt"/>
    <s v="Eric"/>
    <x v="84"/>
    <x v="5"/>
    <n v="1955"/>
    <n v="4"/>
    <n v="27"/>
    <n v="117.24"/>
    <n v="21427700000000"/>
    <n v="78.5"/>
    <n v="9.6"/>
    <n v="36.6"/>
    <n v="328239523"/>
  </r>
  <r>
    <n v="106"/>
    <x v="102"/>
    <x v="3"/>
    <x v="8"/>
    <x v="0"/>
    <x v="32"/>
    <s v="Hedge funds"/>
    <x v="3"/>
    <x v="1"/>
    <x v="0"/>
    <s v="Platt"/>
    <s v="Michael"/>
    <x v="85"/>
    <x v="40"/>
    <n v="1968"/>
    <n v="3"/>
    <n v="18"/>
    <n v="99.55"/>
    <n v="703082435360"/>
    <n v="83.6"/>
    <n v="10.1"/>
    <n v="28.8"/>
    <n v="8574832"/>
  </r>
  <r>
    <n v="107"/>
    <x v="103"/>
    <x v="7"/>
    <x v="5"/>
    <x v="2"/>
    <x v="47"/>
    <s v="Soy sauce"/>
    <x v="7"/>
    <x v="1"/>
    <x v="0"/>
    <s v="Pang"/>
    <s v="Kang"/>
    <x v="86"/>
    <x v="5"/>
    <n v="1956"/>
    <n v="1"/>
    <n v="19"/>
    <n v="125.08"/>
    <n v="19910000000000"/>
    <n v="77"/>
    <n v="9.4"/>
    <n v="59.2"/>
    <n v="1397715000"/>
  </r>
  <r>
    <n v="108"/>
    <x v="104"/>
    <x v="7"/>
    <x v="8"/>
    <x v="0"/>
    <x v="68"/>
    <s v="Beer"/>
    <x v="7"/>
    <x v="1"/>
    <x v="0"/>
    <s v="Lemann"/>
    <s v="Jorge Paulo"/>
    <x v="87"/>
    <x v="7"/>
    <n v="1939"/>
    <n v="8"/>
    <n v="26"/>
    <n v="99.55"/>
    <n v="703082435360"/>
    <n v="83.6"/>
    <n v="10.1"/>
    <n v="28.8"/>
    <n v="8574832"/>
  </r>
  <r>
    <n v="112"/>
    <x v="105"/>
    <x v="13"/>
    <x v="3"/>
    <x v="2"/>
    <x v="7"/>
    <s v="Pharmaceuticals"/>
    <x v="13"/>
    <x v="1"/>
    <x v="0"/>
    <s v="Shanghvi"/>
    <s v="Dilip"/>
    <x v="88"/>
    <x v="5"/>
    <n v="1955"/>
    <n v="10"/>
    <n v="1"/>
    <n v="180.44"/>
    <n v="2611000000000"/>
    <n v="69.400000000000006"/>
    <n v="11.2"/>
    <n v="49.7"/>
    <n v="1366417754"/>
  </r>
  <r>
    <n v="113"/>
    <x v="106"/>
    <x v="2"/>
    <x v="1"/>
    <x v="1"/>
    <x v="69"/>
    <s v="Wireless networking"/>
    <x v="2"/>
    <x v="1"/>
    <x v="0"/>
    <s v="Pera"/>
    <s v="Robert"/>
    <x v="89"/>
    <x v="42"/>
    <n v="1978"/>
    <n v="3"/>
    <n v="10"/>
    <n v="117.24"/>
    <n v="21427700000000"/>
    <n v="78.5"/>
    <n v="9.6"/>
    <n v="36.6"/>
    <n v="328239523"/>
  </r>
  <r>
    <n v="114"/>
    <x v="107"/>
    <x v="0"/>
    <x v="3"/>
    <x v="2"/>
    <x v="7"/>
    <s v="Retail, investments"/>
    <x v="0"/>
    <x v="1"/>
    <x v="0"/>
    <s v="Damani"/>
    <s v="Radhakishan"/>
    <x v="90"/>
    <x v="13"/>
    <n v="1955"/>
    <n v="1"/>
    <n v="1"/>
    <n v="180.44"/>
    <n v="2611000000000"/>
    <n v="69.400000000000006"/>
    <n v="11.2"/>
    <n v="49.7"/>
    <n v="1366417754"/>
  </r>
  <r>
    <n v="115"/>
    <x v="108"/>
    <x v="1"/>
    <x v="5"/>
    <x v="2"/>
    <x v="29"/>
    <s v="Batteries"/>
    <x v="1"/>
    <x v="1"/>
    <x v="0"/>
    <s v="Huang"/>
    <s v="Shilin"/>
    <x v="91"/>
    <x v="30"/>
    <n v="1967"/>
    <n v="1"/>
    <n v="1"/>
    <n v="125.08"/>
    <n v="19910000000000"/>
    <n v="77"/>
    <n v="9.4"/>
    <n v="59.2"/>
    <n v="1397715000"/>
  </r>
  <r>
    <n v="116"/>
    <x v="109"/>
    <x v="6"/>
    <x v="20"/>
    <x v="2"/>
    <x v="70"/>
    <s v="Diversified"/>
    <x v="6"/>
    <x v="0"/>
    <x v="0"/>
    <s v="Chearavanont"/>
    <s v="Dhanin"/>
    <x v="92"/>
    <x v="7"/>
    <n v="1939"/>
    <n v="4"/>
    <n v="19"/>
    <n v="113.27"/>
    <n v="543649976166"/>
    <n v="76.900000000000006"/>
    <n v="14.9"/>
    <n v="29.5"/>
    <n v="69625582"/>
  </r>
  <r>
    <n v="116"/>
    <x v="110"/>
    <x v="0"/>
    <x v="1"/>
    <x v="1"/>
    <x v="57"/>
    <s v="Retail"/>
    <x v="0"/>
    <x v="1"/>
    <x v="0"/>
    <s v="Green"/>
    <s v="David"/>
    <x v="92"/>
    <x v="6"/>
    <n v="1941"/>
    <n v="11"/>
    <n v="13"/>
    <n v="117.24"/>
    <n v="21427700000000"/>
    <n v="78.5"/>
    <n v="9.6"/>
    <n v="36.6"/>
    <n v="328239523"/>
  </r>
  <r>
    <n v="118"/>
    <x v="111"/>
    <x v="7"/>
    <x v="20"/>
    <x v="2"/>
    <x v="70"/>
    <s v="Alcohol, real estate"/>
    <x v="7"/>
    <x v="1"/>
    <x v="0"/>
    <s v="Sirivadhanabhakdi"/>
    <s v="Charoen"/>
    <x v="93"/>
    <x v="3"/>
    <n v="1944"/>
    <n v="5"/>
    <n v="2"/>
    <n v="113.27"/>
    <n v="543649976166"/>
    <n v="76.900000000000006"/>
    <n v="14.9"/>
    <n v="29.5"/>
    <n v="69625582"/>
  </r>
  <r>
    <n v="119"/>
    <x v="112"/>
    <x v="7"/>
    <x v="12"/>
    <x v="0"/>
    <x v="31"/>
    <s v="Heineken"/>
    <x v="7"/>
    <x v="0"/>
    <x v="1"/>
    <s v="de Carvalho-Heineken"/>
    <s v="Charlene"/>
    <x v="94"/>
    <x v="13"/>
    <n v="1954"/>
    <n v="6"/>
    <n v="30"/>
    <n v="119.62"/>
    <n v="2827113184696"/>
    <n v="81.3"/>
    <n v="25.5"/>
    <n v="30.6"/>
    <n v="66834405"/>
  </r>
  <r>
    <n v="120"/>
    <x v="113"/>
    <x v="13"/>
    <x v="5"/>
    <x v="2"/>
    <x v="25"/>
    <s v="Medical devices"/>
    <x v="13"/>
    <x v="1"/>
    <x v="0"/>
    <s v="Xu"/>
    <s v="Hang"/>
    <x v="95"/>
    <x v="15"/>
    <n v="1962"/>
    <n v="5"/>
    <n v="22"/>
    <n v="125.08"/>
    <n v="19910000000000"/>
    <n v="77"/>
    <n v="9.4"/>
    <n v="59.2"/>
    <n v="1397715000"/>
  </r>
  <r>
    <n v="121"/>
    <x v="114"/>
    <x v="1"/>
    <x v="5"/>
    <x v="2"/>
    <x v="71"/>
    <s v="Automobiles"/>
    <x v="1"/>
    <x v="1"/>
    <x v="0"/>
    <s v="Wei"/>
    <s v="Jianjun"/>
    <x v="96"/>
    <x v="2"/>
    <n v="1964"/>
    <n v="3"/>
    <n v="1"/>
    <n v="125.08"/>
    <n v="19910000000000"/>
    <n v="77"/>
    <n v="9.4"/>
    <n v="59.2"/>
    <n v="1397715000"/>
  </r>
  <r>
    <n v="123"/>
    <x v="115"/>
    <x v="10"/>
    <x v="21"/>
    <x v="2"/>
    <x v="72"/>
    <s v="Paints"/>
    <x v="10"/>
    <x v="1"/>
    <x v="0"/>
    <s v="Goh"/>
    <s v="Cheng Liang"/>
    <x v="97"/>
    <x v="43"/>
    <n v="1927"/>
    <n v="6"/>
    <n v="27"/>
    <n v="114.41"/>
    <n v="372062527489"/>
    <n v="83.1"/>
    <n v="13.1"/>
    <n v="21"/>
    <n v="5703569"/>
  </r>
  <r>
    <n v="124"/>
    <x v="116"/>
    <x v="6"/>
    <x v="3"/>
    <x v="2"/>
    <x v="7"/>
    <s v="Commodities"/>
    <x v="6"/>
    <x v="0"/>
    <x v="0"/>
    <s v="Birla"/>
    <s v="Kumar"/>
    <x v="98"/>
    <x v="40"/>
    <n v="1967"/>
    <n v="6"/>
    <n v="14"/>
    <n v="180.44"/>
    <n v="2611000000000"/>
    <n v="69.400000000000006"/>
    <n v="11.2"/>
    <n v="49.7"/>
    <n v="1366417754"/>
  </r>
  <r>
    <n v="124"/>
    <x v="117"/>
    <x v="10"/>
    <x v="22"/>
    <x v="0"/>
    <x v="73"/>
    <s v="Cement, sugar"/>
    <x v="10"/>
    <x v="1"/>
    <x v="0"/>
    <s v="Dangote"/>
    <s v="Aliko"/>
    <x v="98"/>
    <x v="8"/>
    <n v="1957"/>
    <n v="4"/>
    <n v="10"/>
    <n v="267.51"/>
    <n v="448120428859"/>
    <n v="54.3"/>
    <n v="1.5"/>
    <n v="34.799999999999997"/>
    <n v="200963599"/>
  </r>
  <r>
    <n v="127"/>
    <x v="118"/>
    <x v="6"/>
    <x v="12"/>
    <x v="0"/>
    <x v="31"/>
    <s v="Shipping"/>
    <x v="6"/>
    <x v="0"/>
    <x v="0"/>
    <s v="Ofer"/>
    <s v="Idan"/>
    <x v="99"/>
    <x v="5"/>
    <n v="1955"/>
    <n v="10"/>
    <n v="2"/>
    <n v="119.62"/>
    <n v="2827113184696"/>
    <n v="81.3"/>
    <n v="25.5"/>
    <n v="30.6"/>
    <n v="66834405"/>
  </r>
  <r>
    <n v="128"/>
    <x v="119"/>
    <x v="13"/>
    <x v="5"/>
    <x v="2"/>
    <x v="74"/>
    <s v="Hospitals"/>
    <x v="13"/>
    <x v="1"/>
    <x v="0"/>
    <s v="Chen"/>
    <s v="Bang"/>
    <x v="100"/>
    <x v="39"/>
    <n v="1965"/>
    <n v="9"/>
    <n v="1"/>
    <n v="125.08"/>
    <n v="19910000000000"/>
    <n v="77"/>
    <n v="9.4"/>
    <n v="59.2"/>
    <n v="1397715000"/>
  </r>
  <r>
    <n v="130"/>
    <x v="120"/>
    <x v="8"/>
    <x v="12"/>
    <x v="0"/>
    <x v="31"/>
    <s v="Shipping"/>
    <x v="8"/>
    <x v="1"/>
    <x v="0"/>
    <s v="Fredriksen"/>
    <s v="John"/>
    <x v="101"/>
    <x v="3"/>
    <n v="1945"/>
    <n v="2"/>
    <n v="1"/>
    <n v="119.62"/>
    <n v="2827113184696"/>
    <n v="81.3"/>
    <n v="25.5"/>
    <n v="30.6"/>
    <n v="66834405"/>
  </r>
  <r>
    <n v="130"/>
    <x v="121"/>
    <x v="16"/>
    <x v="1"/>
    <x v="1"/>
    <x v="75"/>
    <s v="Building supplies"/>
    <x v="16"/>
    <x v="1"/>
    <x v="1"/>
    <s v="Hendricks"/>
    <s v="Diane"/>
    <x v="101"/>
    <x v="29"/>
    <n v="1947"/>
    <n v="3"/>
    <n v="2"/>
    <n v="117.24"/>
    <n v="21427700000000"/>
    <n v="78.5"/>
    <n v="9.6"/>
    <n v="36.6"/>
    <n v="328239523"/>
  </r>
  <r>
    <n v="130"/>
    <x v="122"/>
    <x v="2"/>
    <x v="1"/>
    <x v="1"/>
    <x v="67"/>
    <s v="WhatsApp"/>
    <x v="2"/>
    <x v="1"/>
    <x v="0"/>
    <s v="Koum"/>
    <s v="Jan"/>
    <x v="101"/>
    <x v="44"/>
    <n v="1976"/>
    <n v="2"/>
    <n v="24"/>
    <n v="117.24"/>
    <n v="21427700000000"/>
    <n v="78.5"/>
    <n v="9.6"/>
    <n v="36.6"/>
    <n v="328239523"/>
  </r>
  <r>
    <n v="133"/>
    <x v="123"/>
    <x v="17"/>
    <x v="1"/>
    <x v="1"/>
    <x v="76"/>
    <s v="Dallas Cowboys"/>
    <x v="17"/>
    <x v="1"/>
    <x v="0"/>
    <s v="Jones"/>
    <s v="Jerry"/>
    <x v="102"/>
    <x v="33"/>
    <n v="1942"/>
    <n v="10"/>
    <n v="13"/>
    <n v="117.24"/>
    <n v="21427700000000"/>
    <n v="78.5"/>
    <n v="9.6"/>
    <n v="36.6"/>
    <n v="328239523"/>
  </r>
  <r>
    <n v="133"/>
    <x v="124"/>
    <x v="12"/>
    <x v="1"/>
    <x v="1"/>
    <x v="77"/>
    <s v="Oil &amp; gas, banking"/>
    <x v="12"/>
    <x v="0"/>
    <x v="0"/>
    <s v="Kaiser"/>
    <s v="George"/>
    <x v="102"/>
    <x v="33"/>
    <n v="1942"/>
    <n v="7"/>
    <n v="29"/>
    <n v="117.24"/>
    <n v="21427700000000"/>
    <n v="78.5"/>
    <n v="9.6"/>
    <n v="36.6"/>
    <n v="328239523"/>
  </r>
  <r>
    <n v="136"/>
    <x v="125"/>
    <x v="1"/>
    <x v="5"/>
    <x v="2"/>
    <x v="78"/>
    <s v="Automobiles, batteries"/>
    <x v="1"/>
    <x v="1"/>
    <x v="0"/>
    <s v="Lu"/>
    <s v="Xiangyang"/>
    <x v="103"/>
    <x v="15"/>
    <n v="1962"/>
    <n v="12"/>
    <n v="28"/>
    <n v="125.08"/>
    <n v="19910000000000"/>
    <n v="77"/>
    <n v="9.4"/>
    <n v="59.2"/>
    <n v="1397715000"/>
  </r>
  <r>
    <n v="137"/>
    <x v="126"/>
    <x v="15"/>
    <x v="13"/>
    <x v="2"/>
    <x v="79"/>
    <s v="Real estate"/>
    <x v="15"/>
    <x v="1"/>
    <x v="0"/>
    <s v="Triguboff"/>
    <s v="Harry"/>
    <x v="104"/>
    <x v="38"/>
    <n v="1933"/>
    <n v="3"/>
    <n v="3"/>
    <n v="119.8"/>
    <n v="1392680589329"/>
    <n v="82.7"/>
    <n v="23"/>
    <n v="47.4"/>
    <n v="25766605"/>
  </r>
  <r>
    <n v="138"/>
    <x v="127"/>
    <x v="3"/>
    <x v="3"/>
    <x v="2"/>
    <x v="7"/>
    <s v="Banking"/>
    <x v="3"/>
    <x v="1"/>
    <x v="0"/>
    <s v="Kotak"/>
    <s v="Uday"/>
    <x v="105"/>
    <x v="27"/>
    <n v="1959"/>
    <n v="3"/>
    <n v="15"/>
    <n v="180.44"/>
    <n v="2611000000000"/>
    <n v="69.400000000000006"/>
    <n v="11.2"/>
    <n v="49.7"/>
    <n v="1366417754"/>
  </r>
  <r>
    <n v="138"/>
    <x v="128"/>
    <x v="17"/>
    <x v="1"/>
    <x v="1"/>
    <x v="80"/>
    <s v="Sports, real estate"/>
    <x v="17"/>
    <x v="1"/>
    <x v="0"/>
    <s v="Kroenke"/>
    <s v="Stanley"/>
    <x v="105"/>
    <x v="41"/>
    <n v="1947"/>
    <n v="7"/>
    <n v="29"/>
    <n v="117.24"/>
    <n v="21427700000000"/>
    <n v="78.5"/>
    <n v="9.6"/>
    <n v="36.6"/>
    <n v="328239523"/>
  </r>
  <r>
    <n v="140"/>
    <x v="129"/>
    <x v="12"/>
    <x v="12"/>
    <x v="0"/>
    <x v="31"/>
    <s v="Oil, banking, telecom"/>
    <x v="12"/>
    <x v="1"/>
    <x v="0"/>
    <s v="Fridman"/>
    <s v="Mikhail"/>
    <x v="106"/>
    <x v="17"/>
    <n v="1964"/>
    <n v="4"/>
    <n v="21"/>
    <n v="119.62"/>
    <n v="2827113184696"/>
    <n v="81.3"/>
    <n v="25.5"/>
    <n v="30.6"/>
    <n v="66834405"/>
  </r>
  <r>
    <n v="141"/>
    <x v="130"/>
    <x v="12"/>
    <x v="20"/>
    <x v="2"/>
    <x v="70"/>
    <s v="Energy"/>
    <x v="12"/>
    <x v="1"/>
    <x v="0"/>
    <s v="Ratanavadi"/>
    <s v="Sarath"/>
    <x v="107"/>
    <x v="39"/>
    <n v="1965"/>
    <n v="7"/>
    <n v="12"/>
    <n v="113.27"/>
    <n v="543649976166"/>
    <n v="76.900000000000006"/>
    <n v="14.9"/>
    <n v="29.5"/>
    <n v="69625582"/>
  </r>
  <r>
    <n v="142"/>
    <x v="131"/>
    <x v="11"/>
    <x v="5"/>
    <x v="2"/>
    <x v="81"/>
    <s v="Coal"/>
    <x v="11"/>
    <x v="1"/>
    <x v="0"/>
    <s v="Dang"/>
    <s v="Yanbao"/>
    <x v="108"/>
    <x v="10"/>
    <n v="1973"/>
    <n v="2"/>
    <n v="1"/>
    <n v="125.08"/>
    <n v="19910000000000"/>
    <n v="77"/>
    <n v="9.4"/>
    <n v="59.2"/>
    <n v="1397715000"/>
  </r>
  <r>
    <n v="142"/>
    <x v="132"/>
    <x v="13"/>
    <x v="5"/>
    <x v="2"/>
    <x v="82"/>
    <s v="Vaccines"/>
    <x v="13"/>
    <x v="1"/>
    <x v="0"/>
    <s v="Jiang"/>
    <s v="Rensheng"/>
    <x v="108"/>
    <x v="9"/>
    <n v="1953"/>
    <n v="10"/>
    <n v="8"/>
    <n v="125.08"/>
    <n v="19910000000000"/>
    <n v="77"/>
    <n v="9.4"/>
    <n v="59.2"/>
    <n v="1397715000"/>
  </r>
  <r>
    <n v="144"/>
    <x v="133"/>
    <x v="1"/>
    <x v="1"/>
    <x v="1"/>
    <x v="83"/>
    <s v="Auto parts"/>
    <x v="1"/>
    <x v="1"/>
    <x v="0"/>
    <s v="Khan"/>
    <s v="Shahid"/>
    <x v="109"/>
    <x v="24"/>
    <n v="1950"/>
    <n v="7"/>
    <n v="18"/>
    <n v="117.24"/>
    <n v="21427700000000"/>
    <n v="78.5"/>
    <n v="9.6"/>
    <n v="36.6"/>
    <n v="328239523"/>
  </r>
  <r>
    <n v="145"/>
    <x v="134"/>
    <x v="2"/>
    <x v="1"/>
    <x v="1"/>
    <x v="9"/>
    <s v="Apple, Disney"/>
    <x v="2"/>
    <x v="0"/>
    <x v="1"/>
    <s v="Powell Jobs"/>
    <s v="Laurene"/>
    <x v="110"/>
    <x v="2"/>
    <n v="1963"/>
    <n v="11"/>
    <n v="6"/>
    <n v="117.24"/>
    <n v="21427700000000"/>
    <n v="78.5"/>
    <n v="9.6"/>
    <n v="36.6"/>
    <n v="328239523"/>
  </r>
  <r>
    <n v="147"/>
    <x v="135"/>
    <x v="15"/>
    <x v="1"/>
    <x v="1"/>
    <x v="5"/>
    <s v="Real estate"/>
    <x v="15"/>
    <x v="1"/>
    <x v="0"/>
    <s v="Ross"/>
    <s v="Stephen"/>
    <x v="111"/>
    <x v="25"/>
    <n v="1940"/>
    <n v="5"/>
    <n v="10"/>
    <n v="117.24"/>
    <n v="21427700000000"/>
    <n v="78.5"/>
    <n v="9.6"/>
    <n v="36.6"/>
    <n v="328239523"/>
  </r>
  <r>
    <n v="148"/>
    <x v="136"/>
    <x v="2"/>
    <x v="15"/>
    <x v="0"/>
    <x v="84"/>
    <s v="Messaging app"/>
    <x v="2"/>
    <x v="1"/>
    <x v="0"/>
    <s v="Durov"/>
    <s v="Pavel"/>
    <x v="112"/>
    <x v="14"/>
    <n v="1984"/>
    <n v="10"/>
    <n v="10"/>
    <n v="114.52"/>
    <n v="421142267938"/>
    <n v="77.8"/>
    <n v="0.1"/>
    <n v="15.9"/>
    <n v="9770529"/>
  </r>
  <r>
    <n v="148"/>
    <x v="137"/>
    <x v="13"/>
    <x v="7"/>
    <x v="0"/>
    <x v="85"/>
    <s v="Pharmaceuticals"/>
    <x v="13"/>
    <x v="1"/>
    <x v="0"/>
    <s v="Struengmann"/>
    <s v="Andreas"/>
    <x v="112"/>
    <x v="16"/>
    <n v="1950"/>
    <n v="2"/>
    <n v="16"/>
    <n v="112.85"/>
    <n v="3845630030824"/>
    <n v="80.900000000000006"/>
    <n v="11.5"/>
    <n v="48.8"/>
    <n v="83132799"/>
  </r>
  <r>
    <n v="148"/>
    <x v="138"/>
    <x v="13"/>
    <x v="7"/>
    <x v="0"/>
    <x v="85"/>
    <s v="Pharmaceuticals"/>
    <x v="13"/>
    <x v="1"/>
    <x v="0"/>
    <s v="Struengmann"/>
    <s v="Thomas"/>
    <x v="112"/>
    <x v="16"/>
    <n v="1950"/>
    <n v="2"/>
    <n v="16"/>
    <n v="112.85"/>
    <n v="3845630030824"/>
    <n v="80.900000000000006"/>
    <n v="11.5"/>
    <n v="48.8"/>
    <n v="83132799"/>
  </r>
  <r>
    <n v="151"/>
    <x v="139"/>
    <x v="7"/>
    <x v="5"/>
    <x v="2"/>
    <x v="86"/>
    <s v="Agribusiness"/>
    <x v="7"/>
    <x v="1"/>
    <x v="0"/>
    <s v="Liu"/>
    <s v="Hanyuan"/>
    <x v="113"/>
    <x v="2"/>
    <n v="1964"/>
    <n v="1"/>
    <n v="1"/>
    <n v="125.08"/>
    <n v="19910000000000"/>
    <n v="77"/>
    <n v="9.4"/>
    <n v="59.2"/>
    <n v="1397715000"/>
  </r>
  <r>
    <n v="151"/>
    <x v="140"/>
    <x v="0"/>
    <x v="1"/>
    <x v="1"/>
    <x v="87"/>
    <s v="Online retail"/>
    <x v="0"/>
    <x v="1"/>
    <x v="0"/>
    <s v="Rubin"/>
    <s v="Michael"/>
    <x v="113"/>
    <x v="10"/>
    <n v="1972"/>
    <n v="7"/>
    <n v="21"/>
    <n v="117.24"/>
    <n v="21427700000000"/>
    <n v="78.5"/>
    <n v="9.6"/>
    <n v="36.6"/>
    <n v="328239523"/>
  </r>
  <r>
    <n v="153"/>
    <x v="141"/>
    <x v="3"/>
    <x v="1"/>
    <x v="1"/>
    <x v="5"/>
    <s v="Hedge funds"/>
    <x v="3"/>
    <x v="1"/>
    <x v="0"/>
    <s v="Englander"/>
    <s v="Israel"/>
    <x v="114"/>
    <x v="0"/>
    <n v="1948"/>
    <n v="9"/>
    <n v="30"/>
    <n v="117.24"/>
    <n v="21427700000000"/>
    <n v="78.5"/>
    <n v="9.6"/>
    <n v="36.6"/>
    <n v="328239523"/>
  </r>
  <r>
    <n v="153"/>
    <x v="142"/>
    <x v="10"/>
    <x v="23"/>
    <x v="0"/>
    <x v="88"/>
    <s v="Fertilizer, real estate"/>
    <x v="10"/>
    <x v="1"/>
    <x v="0"/>
    <s v="Kantor"/>
    <s v="Viatcheslav"/>
    <x v="114"/>
    <x v="9"/>
    <n v="1953"/>
    <n v="9"/>
    <n v="8"/>
    <n v="108.15"/>
    <n v="395098666122"/>
    <n v="82.8"/>
    <n v="23.1"/>
    <n v="25.3"/>
    <n v="9053300"/>
  </r>
  <r>
    <n v="153"/>
    <x v="143"/>
    <x v="10"/>
    <x v="13"/>
    <x v="2"/>
    <x v="89"/>
    <s v="Manufacturing"/>
    <x v="10"/>
    <x v="0"/>
    <x v="0"/>
    <s v="Pratt"/>
    <s v="Anthony"/>
    <x v="114"/>
    <x v="32"/>
    <n v="1960"/>
    <n v="4"/>
    <n v="11"/>
    <n v="119.8"/>
    <n v="1392680589329"/>
    <n v="82.7"/>
    <n v="23"/>
    <n v="47.4"/>
    <n v="25766605"/>
  </r>
  <r>
    <n v="153"/>
    <x v="144"/>
    <x v="3"/>
    <x v="8"/>
    <x v="0"/>
    <x v="90"/>
    <s v="Investments"/>
    <x v="3"/>
    <x v="1"/>
    <x v="0"/>
    <s v="Prokhorov"/>
    <s v="Mikhail"/>
    <x v="114"/>
    <x v="39"/>
    <n v="1965"/>
    <n v="5"/>
    <n v="3"/>
    <n v="99.55"/>
    <n v="703082435360"/>
    <n v="83.6"/>
    <n v="10.1"/>
    <n v="28.8"/>
    <n v="8574832"/>
  </r>
  <r>
    <n v="157"/>
    <x v="145"/>
    <x v="0"/>
    <x v="24"/>
    <x v="0"/>
    <x v="91"/>
    <s v="Luxury goods"/>
    <x v="0"/>
    <x v="1"/>
    <x v="0"/>
    <s v="Armani"/>
    <s v="Giorgio"/>
    <x v="115"/>
    <x v="45"/>
    <n v="1934"/>
    <n v="7"/>
    <n v="11"/>
    <n v="110.62"/>
    <n v="2001244392042"/>
    <n v="82.9"/>
    <n v="24.3"/>
    <n v="59.1"/>
    <n v="60297396"/>
  </r>
  <r>
    <n v="157"/>
    <x v="146"/>
    <x v="0"/>
    <x v="25"/>
    <x v="0"/>
    <x v="92"/>
    <s v="Luxury goods"/>
    <x v="0"/>
    <x v="0"/>
    <x v="0"/>
    <s v="Rupert"/>
    <s v="Johann"/>
    <x v="115"/>
    <x v="24"/>
    <n v="1950"/>
    <n v="6"/>
    <n v="1"/>
    <n v="158.93"/>
    <n v="351431649241"/>
    <n v="63.9"/>
    <n v="27.5"/>
    <n v="29.2"/>
    <n v="58558270"/>
  </r>
  <r>
    <n v="159"/>
    <x v="147"/>
    <x v="2"/>
    <x v="5"/>
    <x v="2"/>
    <x v="25"/>
    <s v="Internet media"/>
    <x v="2"/>
    <x v="1"/>
    <x v="0"/>
    <s v="Zhang"/>
    <s v="Zhidong"/>
    <x v="116"/>
    <x v="1"/>
    <n v="1972"/>
    <n v="1"/>
    <n v="1"/>
    <n v="125.08"/>
    <n v="19910000000000"/>
    <n v="77"/>
    <n v="9.4"/>
    <n v="59.2"/>
    <n v="1397715000"/>
  </r>
  <r>
    <n v="161"/>
    <x v="148"/>
    <x v="3"/>
    <x v="1"/>
    <x v="1"/>
    <x v="93"/>
    <s v="Energy, sports, entertainment"/>
    <x v="3"/>
    <x v="0"/>
    <x v="0"/>
    <s v="Anschutz"/>
    <s v="Philip"/>
    <x v="117"/>
    <x v="7"/>
    <n v="1939"/>
    <n v="12"/>
    <n v="28"/>
    <n v="117.24"/>
    <n v="21427700000000"/>
    <n v="78.5"/>
    <n v="9.6"/>
    <n v="36.6"/>
    <n v="328239523"/>
  </r>
  <r>
    <n v="161"/>
    <x v="149"/>
    <x v="0"/>
    <x v="1"/>
    <x v="1"/>
    <x v="57"/>
    <s v="Gas stations"/>
    <x v="0"/>
    <x v="1"/>
    <x v="1"/>
    <s v="Love"/>
    <s v="Judy"/>
    <x v="117"/>
    <x v="18"/>
    <n v="1937"/>
    <n v="6"/>
    <n v="17"/>
    <n v="117.24"/>
    <n v="21427700000000"/>
    <n v="78.5"/>
    <n v="9.6"/>
    <n v="36.6"/>
    <n v="328239523"/>
  </r>
  <r>
    <n v="161"/>
    <x v="150"/>
    <x v="0"/>
    <x v="2"/>
    <x v="1"/>
    <x v="6"/>
    <s v="Retail, media"/>
    <x v="0"/>
    <x v="0"/>
    <x v="0"/>
    <s v="Salinas Pliego"/>
    <s v="Ricardo"/>
    <x v="117"/>
    <x v="5"/>
    <n v="1955"/>
    <n v="10"/>
    <n v="19"/>
    <n v="141.54"/>
    <n v="1258286717125"/>
    <n v="75"/>
    <n v="13.1"/>
    <n v="55.1"/>
    <n v="126014024"/>
  </r>
  <r>
    <n v="164"/>
    <x v="151"/>
    <x v="4"/>
    <x v="1"/>
    <x v="1"/>
    <x v="5"/>
    <s v="Media"/>
    <x v="4"/>
    <x v="0"/>
    <x v="0"/>
    <s v="Newhouse"/>
    <s v="Donald"/>
    <x v="118"/>
    <x v="46"/>
    <n v="1929"/>
    <n v="8"/>
    <n v="5"/>
    <n v="117.24"/>
    <n v="21427700000000"/>
    <n v="78.5"/>
    <n v="9.6"/>
    <n v="36.6"/>
    <n v="328239523"/>
  </r>
  <r>
    <n v="165"/>
    <x v="152"/>
    <x v="17"/>
    <x v="1"/>
    <x v="1"/>
    <x v="94"/>
    <s v="Manufacturing, New England Patriots"/>
    <x v="17"/>
    <x v="1"/>
    <x v="0"/>
    <s v="Kraft"/>
    <s v="Robert"/>
    <x v="119"/>
    <x v="6"/>
    <n v="1941"/>
    <n v="6"/>
    <n v="5"/>
    <n v="117.24"/>
    <n v="21427700000000"/>
    <n v="78.5"/>
    <n v="9.6"/>
    <n v="36.6"/>
    <n v="328239523"/>
  </r>
  <r>
    <n v="165"/>
    <x v="153"/>
    <x v="7"/>
    <x v="26"/>
    <x v="3"/>
    <x v="95"/>
    <s v="Beer"/>
    <x v="7"/>
    <x v="1"/>
    <x v="0"/>
    <s v="Telles"/>
    <s v="Marcel Herrmann"/>
    <x v="119"/>
    <x v="16"/>
    <n v="1950"/>
    <n v="1"/>
    <n v="1"/>
    <n v="167.4"/>
    <n v="1839758040766"/>
    <n v="75.7"/>
    <n v="14.2"/>
    <n v="65.099999999999994"/>
    <n v="212559417"/>
  </r>
  <r>
    <n v="167"/>
    <x v="154"/>
    <x v="3"/>
    <x v="16"/>
    <x v="0"/>
    <x v="46"/>
    <s v="Gold"/>
    <x v="3"/>
    <x v="1"/>
    <x v="0"/>
    <s v="Kerimov &amp; family"/>
    <s v="Suleiman"/>
    <x v="120"/>
    <x v="39"/>
    <n v="1966"/>
    <n v="3"/>
    <n v="12"/>
    <n v="180.75"/>
    <n v="1699876578871"/>
    <n v="72.7"/>
    <n v="11.4"/>
    <n v="46.2"/>
    <n v="144373535"/>
  </r>
  <r>
    <n v="167"/>
    <x v="155"/>
    <x v="0"/>
    <x v="5"/>
    <x v="2"/>
    <x v="78"/>
    <s v="E-commerce"/>
    <x v="0"/>
    <x v="1"/>
    <x v="0"/>
    <s v="Xu"/>
    <s v="Sky"/>
    <x v="120"/>
    <x v="19"/>
    <n v="1984"/>
    <n v="1"/>
    <n v="1"/>
    <n v="125.08"/>
    <n v="19910000000000"/>
    <n v="77"/>
    <n v="9.4"/>
    <n v="59.2"/>
    <n v="1397715000"/>
  </r>
  <r>
    <n v="167"/>
    <x v="156"/>
    <x v="3"/>
    <x v="15"/>
    <x v="0"/>
    <x v="84"/>
    <s v="Cryptocurrency exchange"/>
    <x v="3"/>
    <x v="1"/>
    <x v="0"/>
    <s v="Zhao"/>
    <s v="Changpeng"/>
    <x v="120"/>
    <x v="42"/>
    <n v="1977"/>
    <n v="9"/>
    <n v="10"/>
    <n v="114.52"/>
    <n v="421142267938"/>
    <n v="77.8"/>
    <n v="0.1"/>
    <n v="15.9"/>
    <n v="9770529"/>
  </r>
  <r>
    <n v="170"/>
    <x v="157"/>
    <x v="3"/>
    <x v="1"/>
    <x v="1"/>
    <x v="76"/>
    <s v="Banks, real estate"/>
    <x v="3"/>
    <x v="1"/>
    <x v="0"/>
    <s v="Beal"/>
    <s v="Andrew"/>
    <x v="121"/>
    <x v="34"/>
    <n v="1952"/>
    <n v="11"/>
    <n v="29"/>
    <n v="117.24"/>
    <n v="21427700000000"/>
    <n v="78.5"/>
    <n v="9.6"/>
    <n v="36.6"/>
    <n v="328239523"/>
  </r>
  <r>
    <n v="171"/>
    <x v="158"/>
    <x v="2"/>
    <x v="13"/>
    <x v="2"/>
    <x v="79"/>
    <s v="Software"/>
    <x v="2"/>
    <x v="1"/>
    <x v="0"/>
    <s v="Cannon-Brookes"/>
    <s v="Mike"/>
    <x v="122"/>
    <x v="26"/>
    <n v="1979"/>
    <n v="11"/>
    <n v="17"/>
    <n v="119.8"/>
    <n v="1392680589329"/>
    <n v="82.7"/>
    <n v="23"/>
    <n v="47.4"/>
    <n v="25766605"/>
  </r>
  <r>
    <n v="171"/>
    <x v="159"/>
    <x v="13"/>
    <x v="1"/>
    <x v="1"/>
    <x v="96"/>
    <s v="Medical devices"/>
    <x v="13"/>
    <x v="0"/>
    <x v="0"/>
    <s v="Cook"/>
    <s v="Carl"/>
    <x v="122"/>
    <x v="15"/>
    <n v="1962"/>
    <n v="8"/>
    <n v="19"/>
    <n v="117.24"/>
    <n v="21427700000000"/>
    <n v="78.5"/>
    <n v="9.6"/>
    <n v="36.6"/>
    <n v="328239523"/>
  </r>
  <r>
    <n v="171"/>
    <x v="160"/>
    <x v="2"/>
    <x v="1"/>
    <x v="1"/>
    <x v="97"/>
    <s v="Business software"/>
    <x v="2"/>
    <x v="1"/>
    <x v="0"/>
    <s v="Duffield"/>
    <s v="David"/>
    <x v="122"/>
    <x v="25"/>
    <n v="1940"/>
    <n v="9"/>
    <n v="21"/>
    <n v="117.24"/>
    <n v="21427700000000"/>
    <n v="78.5"/>
    <n v="9.6"/>
    <n v="36.6"/>
    <n v="328239523"/>
  </r>
  <r>
    <n v="171"/>
    <x v="161"/>
    <x v="12"/>
    <x v="1"/>
    <x v="1"/>
    <x v="98"/>
    <s v="Oil"/>
    <x v="12"/>
    <x v="1"/>
    <x v="0"/>
    <s v="Hildebrand"/>
    <s v="Jeffery"/>
    <x v="122"/>
    <x v="27"/>
    <n v="1959"/>
    <n v="3"/>
    <n v="5"/>
    <n v="117.24"/>
    <n v="21427700000000"/>
    <n v="78.5"/>
    <n v="9.6"/>
    <n v="36.6"/>
    <n v="328239523"/>
  </r>
  <r>
    <n v="171"/>
    <x v="162"/>
    <x v="10"/>
    <x v="16"/>
    <x v="0"/>
    <x v="99"/>
    <s v="Steel"/>
    <x v="10"/>
    <x v="1"/>
    <x v="0"/>
    <s v="Rashnikov"/>
    <s v="Viktor"/>
    <x v="122"/>
    <x v="0"/>
    <n v="1948"/>
    <n v="10"/>
    <n v="13"/>
    <n v="180.75"/>
    <n v="1699876578871"/>
    <n v="72.7"/>
    <n v="11.4"/>
    <n v="46.2"/>
    <n v="144373535"/>
  </r>
  <r>
    <n v="171"/>
    <x v="163"/>
    <x v="2"/>
    <x v="21"/>
    <x v="2"/>
    <x v="72"/>
    <s v="Facebook"/>
    <x v="2"/>
    <x v="1"/>
    <x v="0"/>
    <s v="Saverin"/>
    <s v="Eduardo"/>
    <x v="122"/>
    <x v="47"/>
    <n v="1982"/>
    <n v="3"/>
    <n v="19"/>
    <n v="114.41"/>
    <n v="372062527489"/>
    <n v="83.1"/>
    <n v="13.1"/>
    <n v="21"/>
    <n v="5703569"/>
  </r>
  <r>
    <n v="171"/>
    <x v="164"/>
    <x v="1"/>
    <x v="7"/>
    <x v="0"/>
    <x v="100"/>
    <s v="Auto parts"/>
    <x v="1"/>
    <x v="0"/>
    <x v="0"/>
    <s v="Schaeffler"/>
    <s v="Georg"/>
    <x v="122"/>
    <x v="17"/>
    <n v="1964"/>
    <n v="10"/>
    <n v="19"/>
    <n v="112.85"/>
    <n v="3845630030824"/>
    <n v="80.900000000000006"/>
    <n v="11.5"/>
    <n v="48.8"/>
    <n v="83132799"/>
  </r>
  <r>
    <n v="171"/>
    <x v="165"/>
    <x v="0"/>
    <x v="1"/>
    <x v="1"/>
    <x v="24"/>
    <s v="Walmart"/>
    <x v="0"/>
    <x v="0"/>
    <x v="1"/>
    <s v="Walton"/>
    <s v="Christy"/>
    <x v="122"/>
    <x v="0"/>
    <n v="1949"/>
    <n v="2"/>
    <n v="8"/>
    <n v="117.24"/>
    <n v="21427700000000"/>
    <n v="78.5"/>
    <n v="9.6"/>
    <n v="36.6"/>
    <n v="328239523"/>
  </r>
  <r>
    <n v="179"/>
    <x v="166"/>
    <x v="2"/>
    <x v="13"/>
    <x v="2"/>
    <x v="79"/>
    <s v="Software"/>
    <x v="2"/>
    <x v="1"/>
    <x v="0"/>
    <s v="Farquhar"/>
    <s v="Scott"/>
    <x v="123"/>
    <x v="26"/>
    <n v="1979"/>
    <n v="12"/>
    <n v="17"/>
    <n v="119.8"/>
    <n v="1392680589329"/>
    <n v="82.7"/>
    <n v="23"/>
    <n v="47.4"/>
    <n v="25766605"/>
  </r>
  <r>
    <n v="179"/>
    <x v="167"/>
    <x v="6"/>
    <x v="27"/>
    <x v="0"/>
    <x v="101"/>
    <s v="Banking, property"/>
    <x v="6"/>
    <x v="0"/>
    <x v="0"/>
    <s v="Quek"/>
    <s v="Leng Chan"/>
    <x v="123"/>
    <x v="6"/>
    <n v="1941"/>
    <n v="8"/>
    <n v="12"/>
    <n v="121.46"/>
    <n v="364701517788"/>
    <n v="76"/>
    <n v="12"/>
    <n v="38.700000000000003"/>
    <n v="32447385"/>
  </r>
  <r>
    <n v="179"/>
    <x v="168"/>
    <x v="15"/>
    <x v="5"/>
    <x v="2"/>
    <x v="19"/>
    <s v="Real estate"/>
    <x v="15"/>
    <x v="1"/>
    <x v="1"/>
    <s v="Wu"/>
    <s v="Yajun"/>
    <x v="123"/>
    <x v="2"/>
    <n v="1964"/>
    <n v="1"/>
    <n v="1"/>
    <n v="125.08"/>
    <n v="19910000000000"/>
    <n v="77"/>
    <n v="9.4"/>
    <n v="59.2"/>
    <n v="1397715000"/>
  </r>
  <r>
    <n v="182"/>
    <x v="169"/>
    <x v="12"/>
    <x v="1"/>
    <x v="1"/>
    <x v="102"/>
    <s v="Oil"/>
    <x v="12"/>
    <x v="1"/>
    <x v="0"/>
    <s v="Stephens"/>
    <s v="Autry"/>
    <x v="124"/>
    <x v="18"/>
    <n v="1938"/>
    <n v="3"/>
    <n v="8"/>
    <n v="117.24"/>
    <n v="21427700000000"/>
    <n v="78.5"/>
    <n v="9.6"/>
    <n v="36.6"/>
    <n v="328239523"/>
  </r>
  <r>
    <n v="183"/>
    <x v="170"/>
    <x v="14"/>
    <x v="5"/>
    <x v="2"/>
    <x v="33"/>
    <s v="Diversified"/>
    <x v="14"/>
    <x v="1"/>
    <x v="0"/>
    <s v="Liu"/>
    <s v="Yongxing"/>
    <x v="125"/>
    <x v="0"/>
    <n v="1948"/>
    <n v="6"/>
    <n v="1"/>
    <n v="125.08"/>
    <n v="19910000000000"/>
    <n v="77"/>
    <n v="9.4"/>
    <n v="59.2"/>
    <n v="1397715000"/>
  </r>
  <r>
    <n v="184"/>
    <x v="171"/>
    <x v="6"/>
    <x v="15"/>
    <x v="0"/>
    <x v="84"/>
    <s v="Infrastructure, commodities"/>
    <x v="6"/>
    <x v="1"/>
    <x v="0"/>
    <s v="Adani"/>
    <s v="Vinod"/>
    <x v="126"/>
    <x v="0"/>
    <n v="1949"/>
    <n v="1"/>
    <n v="10"/>
    <n v="114.52"/>
    <n v="421142267938"/>
    <n v="77.8"/>
    <n v="0.1"/>
    <n v="15.9"/>
    <n v="9770529"/>
  </r>
  <r>
    <n v="184"/>
    <x v="172"/>
    <x v="0"/>
    <x v="8"/>
    <x v="0"/>
    <x v="103"/>
    <s v="Hermes"/>
    <x v="0"/>
    <x v="0"/>
    <x v="0"/>
    <s v="Puech"/>
    <s v="Nicolas"/>
    <x v="126"/>
    <x v="33"/>
    <n v="1943"/>
    <n v="1"/>
    <n v="29"/>
    <n v="99.55"/>
    <n v="703082435360"/>
    <n v="83.6"/>
    <n v="10.1"/>
    <n v="28.8"/>
    <n v="8574832"/>
  </r>
  <r>
    <n v="184"/>
    <x v="173"/>
    <x v="8"/>
    <x v="0"/>
    <x v="0"/>
    <x v="104"/>
    <s v="Shipping"/>
    <x v="8"/>
    <x v="0"/>
    <x v="0"/>
    <s v="Saadé"/>
    <s v="Jacques"/>
    <x v="126"/>
    <x v="1"/>
    <n v="1971"/>
    <n v="8"/>
    <n v="10"/>
    <n v="110.05"/>
    <n v="2715518274227"/>
    <n v="82.5"/>
    <n v="24.2"/>
    <n v="60.7"/>
    <n v="67059887"/>
  </r>
  <r>
    <n v="184"/>
    <x v="174"/>
    <x v="8"/>
    <x v="0"/>
    <x v="0"/>
    <x v="104"/>
    <s v="Shipping"/>
    <x v="8"/>
    <x v="0"/>
    <x v="0"/>
    <s v="Saadé"/>
    <s v="Rodolphe"/>
    <x v="126"/>
    <x v="48"/>
    <n v="1970"/>
    <n v="3"/>
    <n v="3"/>
    <n v="110.05"/>
    <n v="2715518274227"/>
    <n v="82.5"/>
    <n v="24.2"/>
    <n v="60.7"/>
    <n v="67059887"/>
  </r>
  <r>
    <n v="184"/>
    <x v="175"/>
    <x v="8"/>
    <x v="0"/>
    <x v="0"/>
    <x v="104"/>
    <s v="Shipping"/>
    <x v="8"/>
    <x v="0"/>
    <x v="1"/>
    <s v="Saadé Zeenny"/>
    <s v="Tanya"/>
    <x v="126"/>
    <x v="40"/>
    <n v="1968"/>
    <n v="2"/>
    <n v="1"/>
    <n v="110.05"/>
    <n v="2715518274227"/>
    <n v="82.5"/>
    <n v="24.2"/>
    <n v="60.7"/>
    <n v="67059887"/>
  </r>
  <r>
    <n v="184"/>
    <x v="176"/>
    <x v="3"/>
    <x v="19"/>
    <x v="0"/>
    <x v="66"/>
    <s v="Investments"/>
    <x v="3"/>
    <x v="1"/>
    <x v="0"/>
    <s v="Schorling"/>
    <s v="Melker"/>
    <x v="126"/>
    <x v="41"/>
    <n v="1947"/>
    <n v="5"/>
    <n v="15"/>
    <n v="110.51"/>
    <n v="530832908738"/>
    <n v="82.5"/>
    <n v="27.9"/>
    <n v="49.1"/>
    <n v="10285453"/>
  </r>
  <r>
    <n v="190"/>
    <x v="177"/>
    <x v="10"/>
    <x v="16"/>
    <x v="0"/>
    <x v="46"/>
    <s v="Fertilizers"/>
    <x v="10"/>
    <x v="1"/>
    <x v="0"/>
    <s v="Guriev &amp; family"/>
    <s v="Andrei"/>
    <x v="127"/>
    <x v="49"/>
    <n v="1960"/>
    <n v="3"/>
    <n v="24"/>
    <n v="180.75"/>
    <n v="1699876578871"/>
    <n v="72.7"/>
    <n v="11.4"/>
    <n v="46.2"/>
    <n v="144373535"/>
  </r>
  <r>
    <n v="190"/>
    <x v="178"/>
    <x v="3"/>
    <x v="28"/>
    <x v="2"/>
    <x v="105"/>
    <s v="Private equity"/>
    <x v="3"/>
    <x v="1"/>
    <x v="0"/>
    <s v="Kim"/>
    <s v="Michael"/>
    <x v="127"/>
    <x v="2"/>
    <n v="1963"/>
    <n v="10"/>
    <n v="1"/>
    <n v="115.16"/>
    <n v="2029000000000"/>
    <n v="82.6"/>
    <n v="15.6"/>
    <n v="33.200000000000003"/>
    <n v="51709098"/>
  </r>
  <r>
    <n v="190"/>
    <x v="179"/>
    <x v="2"/>
    <x v="5"/>
    <x v="2"/>
    <x v="19"/>
    <s v="Smartphones"/>
    <x v="2"/>
    <x v="1"/>
    <x v="0"/>
    <s v="Lei"/>
    <s v="Jun"/>
    <x v="127"/>
    <x v="48"/>
    <n v="1969"/>
    <n v="12"/>
    <n v="16"/>
    <n v="125.08"/>
    <n v="19910000000000"/>
    <n v="77"/>
    <n v="9.4"/>
    <n v="59.2"/>
    <n v="1397715000"/>
  </r>
  <r>
    <n v="190"/>
    <x v="180"/>
    <x v="10"/>
    <x v="7"/>
    <x v="0"/>
    <x v="106"/>
    <s v="Manufacturing"/>
    <x v="10"/>
    <x v="0"/>
    <x v="0"/>
    <s v="Loh"/>
    <s v="Friedhelm"/>
    <x v="127"/>
    <x v="29"/>
    <n v="1946"/>
    <n v="8"/>
    <n v="15"/>
    <n v="112.85"/>
    <n v="3845630030824"/>
    <n v="80.900000000000006"/>
    <n v="11.5"/>
    <n v="48.8"/>
    <n v="83132799"/>
  </r>
  <r>
    <n v="190"/>
    <x v="181"/>
    <x v="13"/>
    <x v="5"/>
    <x v="2"/>
    <x v="107"/>
    <s v="Pharmaceuticals"/>
    <x v="13"/>
    <x v="1"/>
    <x v="0"/>
    <s v="Sun"/>
    <s v="Piaoyang"/>
    <x v="127"/>
    <x v="27"/>
    <n v="1958"/>
    <n v="9"/>
    <n v="1"/>
    <n v="125.08"/>
    <n v="19910000000000"/>
    <n v="77"/>
    <n v="9.4"/>
    <n v="59.2"/>
    <n v="1397715000"/>
  </r>
  <r>
    <n v="195"/>
    <x v="182"/>
    <x v="2"/>
    <x v="1"/>
    <x v="1"/>
    <x v="108"/>
    <s v="Warehouse automation"/>
    <x v="2"/>
    <x v="0"/>
    <x v="0"/>
    <s v="Cohen"/>
    <s v="Rick"/>
    <x v="128"/>
    <x v="34"/>
    <n v="1952"/>
    <n v="7"/>
    <n v="25"/>
    <n v="117.24"/>
    <n v="21427700000000"/>
    <n v="78.5"/>
    <n v="9.6"/>
    <n v="36.6"/>
    <n v="328239523"/>
  </r>
  <r>
    <n v="195"/>
    <x v="183"/>
    <x v="12"/>
    <x v="5"/>
    <x v="2"/>
    <x v="109"/>
    <s v="Solar panels"/>
    <x v="12"/>
    <x v="1"/>
    <x v="0"/>
    <s v="Jin"/>
    <s v="Baofang"/>
    <x v="128"/>
    <x v="34"/>
    <n v="1952"/>
    <n v="9"/>
    <n v="1"/>
    <n v="125.08"/>
    <n v="19910000000000"/>
    <n v="77"/>
    <n v="9.4"/>
    <n v="59.2"/>
    <n v="1397715000"/>
  </r>
  <r>
    <n v="195"/>
    <x v="184"/>
    <x v="10"/>
    <x v="5"/>
    <x v="2"/>
    <x v="110"/>
    <s v="Chemicals"/>
    <x v="10"/>
    <x v="1"/>
    <x v="0"/>
    <s v="Luo"/>
    <s v="Liguo"/>
    <x v="128"/>
    <x v="5"/>
    <n v="1956"/>
    <n v="3"/>
    <n v="1"/>
    <n v="125.08"/>
    <n v="19910000000000"/>
    <n v="77"/>
    <n v="9.4"/>
    <n v="59.2"/>
    <n v="1397715000"/>
  </r>
  <r>
    <n v="195"/>
    <x v="185"/>
    <x v="7"/>
    <x v="1"/>
    <x v="1"/>
    <x v="111"/>
    <s v="Candy, pet food"/>
    <x v="7"/>
    <x v="0"/>
    <x v="1"/>
    <s v="Mars"/>
    <s v="Marijke"/>
    <x v="128"/>
    <x v="17"/>
    <n v="1964"/>
    <n v="7"/>
    <n v="28"/>
    <n v="117.24"/>
    <n v="21427700000000"/>
    <n v="78.5"/>
    <n v="9.6"/>
    <n v="36.6"/>
    <n v="328239523"/>
  </r>
  <r>
    <n v="195"/>
    <x v="186"/>
    <x v="7"/>
    <x v="1"/>
    <x v="1"/>
    <x v="112"/>
    <s v="Candy, pet food"/>
    <x v="7"/>
    <x v="0"/>
    <x v="1"/>
    <s v="Mars"/>
    <s v="Pamela"/>
    <x v="128"/>
    <x v="32"/>
    <n v="1960"/>
    <n v="8"/>
    <n v="1"/>
    <n v="117.24"/>
    <n v="21427700000000"/>
    <n v="78.5"/>
    <n v="9.6"/>
    <n v="36.6"/>
    <n v="328239523"/>
  </r>
  <r>
    <n v="195"/>
    <x v="187"/>
    <x v="7"/>
    <x v="1"/>
    <x v="1"/>
    <x v="5"/>
    <s v="Candy, pet food"/>
    <x v="7"/>
    <x v="0"/>
    <x v="1"/>
    <s v="Mars"/>
    <s v="Valerie"/>
    <x v="128"/>
    <x v="27"/>
    <n v="1959"/>
    <n v="1"/>
    <n v="26"/>
    <n v="117.24"/>
    <n v="21427700000000"/>
    <n v="78.5"/>
    <n v="9.6"/>
    <n v="36.6"/>
    <n v="328239523"/>
  </r>
  <r>
    <n v="195"/>
    <x v="188"/>
    <x v="7"/>
    <x v="1"/>
    <x v="1"/>
    <x v="113"/>
    <s v="Candy, pet food"/>
    <x v="7"/>
    <x v="0"/>
    <x v="1"/>
    <s v="Mars"/>
    <s v="Victoria"/>
    <x v="128"/>
    <x v="35"/>
    <n v="1956"/>
    <n v="12"/>
    <n v="15"/>
    <n v="117.24"/>
    <n v="21427700000000"/>
    <n v="78.5"/>
    <n v="9.6"/>
    <n v="36.6"/>
    <n v="328239523"/>
  </r>
  <r>
    <n v="202"/>
    <x v="189"/>
    <x v="3"/>
    <x v="0"/>
    <x v="0"/>
    <x v="0"/>
    <s v="Investments"/>
    <x v="3"/>
    <x v="0"/>
    <x v="0"/>
    <s v="Bolloré"/>
    <s v="Vincent"/>
    <x v="129"/>
    <x v="50"/>
    <n v="1952"/>
    <n v="4"/>
    <n v="1"/>
    <n v="110.05"/>
    <n v="2715518274227"/>
    <n v="82.5"/>
    <n v="24.2"/>
    <n v="60.7"/>
    <n v="67059887"/>
  </r>
  <r>
    <n v="202"/>
    <x v="190"/>
    <x v="6"/>
    <x v="6"/>
    <x v="1"/>
    <x v="114"/>
    <s v="Diversified"/>
    <x v="6"/>
    <x v="1"/>
    <x v="0"/>
    <s v="Pattison"/>
    <s v="Jim"/>
    <x v="129"/>
    <x v="51"/>
    <n v="1928"/>
    <n v="10"/>
    <n v="1"/>
    <n v="116.76"/>
    <n v="1736425629520"/>
    <n v="81.900000000000006"/>
    <n v="12.8"/>
    <n v="24.5"/>
    <n v="36991981"/>
  </r>
  <r>
    <n v="204"/>
    <x v="191"/>
    <x v="13"/>
    <x v="8"/>
    <x v="0"/>
    <x v="115"/>
    <s v="Biotech, investments"/>
    <x v="13"/>
    <x v="0"/>
    <x v="0"/>
    <s v="Bertarelli"/>
    <s v="Ernesto"/>
    <x v="130"/>
    <x v="39"/>
    <n v="1965"/>
    <n v="9"/>
    <n v="22"/>
    <n v="99.55"/>
    <n v="703082435360"/>
    <n v="83.6"/>
    <n v="10.1"/>
    <n v="28.8"/>
    <n v="8574832"/>
  </r>
  <r>
    <n v="204"/>
    <x v="192"/>
    <x v="2"/>
    <x v="5"/>
    <x v="2"/>
    <x v="19"/>
    <s v="Food delivery"/>
    <x v="2"/>
    <x v="1"/>
    <x v="0"/>
    <s v="Wang"/>
    <s v="Xing"/>
    <x v="130"/>
    <x v="52"/>
    <n v="1979"/>
    <n v="2"/>
    <n v="18"/>
    <n v="125.08"/>
    <n v="19910000000000"/>
    <n v="77"/>
    <n v="9.4"/>
    <n v="59.2"/>
    <n v="1397715000"/>
  </r>
  <r>
    <n v="206"/>
    <x v="193"/>
    <x v="2"/>
    <x v="1"/>
    <x v="1"/>
    <x v="116"/>
    <s v="Airbnb"/>
    <x v="2"/>
    <x v="1"/>
    <x v="0"/>
    <s v="Chesky"/>
    <s v="Brian"/>
    <x v="131"/>
    <x v="47"/>
    <n v="1981"/>
    <n v="8"/>
    <n v="29"/>
    <n v="117.24"/>
    <n v="21427700000000"/>
    <n v="78.5"/>
    <n v="9.6"/>
    <n v="36.6"/>
    <n v="328239523"/>
  </r>
  <r>
    <n v="206"/>
    <x v="194"/>
    <x v="10"/>
    <x v="12"/>
    <x v="0"/>
    <x v="117"/>
    <s v="Vacuums"/>
    <x v="10"/>
    <x v="1"/>
    <x v="0"/>
    <s v="Dyson"/>
    <s v="James"/>
    <x v="131"/>
    <x v="41"/>
    <n v="1947"/>
    <n v="5"/>
    <n v="2"/>
    <n v="119.62"/>
    <n v="2827113184696"/>
    <n v="81.3"/>
    <n v="25.5"/>
    <n v="30.6"/>
    <n v="66834405"/>
  </r>
  <r>
    <n v="208"/>
    <x v="195"/>
    <x v="6"/>
    <x v="16"/>
    <x v="0"/>
    <x v="46"/>
    <s v="Steel, investments"/>
    <x v="6"/>
    <x v="1"/>
    <x v="0"/>
    <s v="Abramovich"/>
    <s v="Roman"/>
    <x v="132"/>
    <x v="30"/>
    <n v="1966"/>
    <n v="10"/>
    <n v="24"/>
    <n v="180.75"/>
    <n v="1699876578871"/>
    <n v="72.7"/>
    <n v="11.4"/>
    <n v="46.2"/>
    <n v="144373535"/>
  </r>
  <r>
    <n v="208"/>
    <x v="196"/>
    <x v="6"/>
    <x v="19"/>
    <x v="0"/>
    <x v="66"/>
    <s v="Diversified"/>
    <x v="6"/>
    <x v="0"/>
    <x v="1"/>
    <s v="Ax:son Johnson"/>
    <s v="Antonia"/>
    <x v="132"/>
    <x v="53"/>
    <n v="1943"/>
    <n v="9"/>
    <n v="6"/>
    <n v="110.51"/>
    <n v="530832908738"/>
    <n v="82.5"/>
    <n v="27.9"/>
    <n v="49.1"/>
    <n v="10285453"/>
  </r>
  <r>
    <n v="208"/>
    <x v="197"/>
    <x v="12"/>
    <x v="18"/>
    <x v="0"/>
    <x v="65"/>
    <s v="Energy, investments"/>
    <x v="12"/>
    <x v="1"/>
    <x v="0"/>
    <s v="Kretinsky"/>
    <s v="Daniel"/>
    <x v="132"/>
    <x v="44"/>
    <n v="1975"/>
    <n v="7"/>
    <n v="9"/>
    <n v="116.48"/>
    <n v="246489245495"/>
    <n v="79"/>
    <n v="14.9"/>
    <n v="46.1"/>
    <n v="10669709"/>
  </r>
  <r>
    <n v="208"/>
    <x v="198"/>
    <x v="4"/>
    <x v="1"/>
    <x v="1"/>
    <x v="118"/>
    <s v="Cable television"/>
    <x v="4"/>
    <x v="1"/>
    <x v="0"/>
    <s v="Malone"/>
    <s v="John"/>
    <x v="132"/>
    <x v="25"/>
    <n v="1941"/>
    <n v="3"/>
    <n v="7"/>
    <n v="117.24"/>
    <n v="21427700000000"/>
    <n v="78.5"/>
    <n v="9.6"/>
    <n v="36.6"/>
    <n v="328239523"/>
  </r>
  <r>
    <n v="208"/>
    <x v="199"/>
    <x v="2"/>
    <x v="3"/>
    <x v="2"/>
    <x v="119"/>
    <s v="Software services"/>
    <x v="2"/>
    <x v="0"/>
    <x v="0"/>
    <s v="Premji"/>
    <s v="Azim"/>
    <x v="132"/>
    <x v="21"/>
    <n v="1945"/>
    <n v="7"/>
    <n v="24"/>
    <n v="180.44"/>
    <n v="2611000000000"/>
    <n v="69.400000000000006"/>
    <n v="11.2"/>
    <n v="49.7"/>
    <n v="1366417754"/>
  </r>
  <r>
    <n v="208"/>
    <x v="200"/>
    <x v="3"/>
    <x v="1"/>
    <x v="1"/>
    <x v="120"/>
    <s v="Discount brokerage"/>
    <x v="3"/>
    <x v="1"/>
    <x v="0"/>
    <s v="Schwab"/>
    <s v="Charles"/>
    <x v="132"/>
    <x v="18"/>
    <n v="1937"/>
    <n v="7"/>
    <n v="29"/>
    <n v="117.24"/>
    <n v="21427700000000"/>
    <n v="78.5"/>
    <n v="9.6"/>
    <n v="36.6"/>
    <n v="328239523"/>
  </r>
  <r>
    <n v="208"/>
    <x v="201"/>
    <x v="0"/>
    <x v="1"/>
    <x v="1"/>
    <x v="121"/>
    <s v="Hardware stores"/>
    <x v="0"/>
    <x v="1"/>
    <x v="0"/>
    <s v="Smidt"/>
    <s v="Eric"/>
    <x v="132"/>
    <x v="49"/>
    <n v="1960"/>
    <n v="1"/>
    <n v="1"/>
    <n v="117.24"/>
    <n v="21427700000000"/>
    <n v="78.5"/>
    <n v="9.6"/>
    <n v="36.6"/>
    <n v="328239523"/>
  </r>
  <r>
    <n v="215"/>
    <x v="202"/>
    <x v="2"/>
    <x v="1"/>
    <x v="1"/>
    <x v="9"/>
    <s v="Google"/>
    <x v="2"/>
    <x v="1"/>
    <x v="0"/>
    <s v="Cheriton"/>
    <s v="David"/>
    <x v="133"/>
    <x v="24"/>
    <n v="1951"/>
    <n v="3"/>
    <n v="29"/>
    <n v="117.24"/>
    <n v="21427700000000"/>
    <n v="78.5"/>
    <n v="9.6"/>
    <n v="36.6"/>
    <n v="328239523"/>
  </r>
  <r>
    <n v="215"/>
    <x v="203"/>
    <x v="11"/>
    <x v="8"/>
    <x v="0"/>
    <x v="122"/>
    <s v="Mining"/>
    <x v="11"/>
    <x v="1"/>
    <x v="0"/>
    <s v="Glasenberg"/>
    <s v="Ivan"/>
    <x v="133"/>
    <x v="35"/>
    <n v="1957"/>
    <n v="1"/>
    <n v="7"/>
    <n v="99.55"/>
    <n v="703082435360"/>
    <n v="83.6"/>
    <n v="10.1"/>
    <n v="28.8"/>
    <n v="8574832"/>
  </r>
  <r>
    <n v="215"/>
    <x v="204"/>
    <x v="15"/>
    <x v="7"/>
    <x v="0"/>
    <x v="123"/>
    <s v="Real estate"/>
    <x v="15"/>
    <x v="0"/>
    <x v="0"/>
    <s v="Otto"/>
    <s v="Alexander"/>
    <x v="133"/>
    <x v="40"/>
    <n v="1967"/>
    <n v="7"/>
    <n v="7"/>
    <n v="112.85"/>
    <n v="3845630030824"/>
    <n v="80.900000000000006"/>
    <n v="11.5"/>
    <n v="48.8"/>
    <n v="83132799"/>
  </r>
  <r>
    <n v="215"/>
    <x v="205"/>
    <x v="7"/>
    <x v="6"/>
    <x v="1"/>
    <x v="114"/>
    <s v="Alcoholic beverages"/>
    <x v="7"/>
    <x v="1"/>
    <x v="0"/>
    <s v="von Mandl"/>
    <s v="Anthony"/>
    <x v="133"/>
    <x v="16"/>
    <n v="1950"/>
    <n v="3"/>
    <n v="10"/>
    <n v="116.76"/>
    <n v="1736425629520"/>
    <n v="81.900000000000006"/>
    <n v="12.8"/>
    <n v="24.5"/>
    <n v="36991981"/>
  </r>
  <r>
    <n v="215"/>
    <x v="206"/>
    <x v="10"/>
    <x v="5"/>
    <x v="2"/>
    <x v="124"/>
    <s v="Hydraulic machinery"/>
    <x v="10"/>
    <x v="1"/>
    <x v="0"/>
    <s v="Wang"/>
    <s v="Liping"/>
    <x v="133"/>
    <x v="39"/>
    <n v="1966"/>
    <n v="2"/>
    <n v="24"/>
    <n v="125.08"/>
    <n v="19910000000000"/>
    <n v="77"/>
    <n v="9.4"/>
    <n v="59.2"/>
    <n v="1397715000"/>
  </r>
  <r>
    <n v="220"/>
    <x v="207"/>
    <x v="7"/>
    <x v="12"/>
    <x v="0"/>
    <x v="31"/>
    <s v="Packaging"/>
    <x v="7"/>
    <x v="0"/>
    <x v="0"/>
    <s v="Rausing"/>
    <s v="Finn"/>
    <x v="134"/>
    <x v="13"/>
    <n v="1955"/>
    <n v="1"/>
    <n v="1"/>
    <n v="119.62"/>
    <n v="2827113184696"/>
    <n v="81.3"/>
    <n v="25.5"/>
    <n v="30.6"/>
    <n v="66834405"/>
  </r>
  <r>
    <n v="220"/>
    <x v="208"/>
    <x v="7"/>
    <x v="12"/>
    <x v="0"/>
    <x v="125"/>
    <s v="Packaging"/>
    <x v="7"/>
    <x v="0"/>
    <x v="0"/>
    <s v="Rausing"/>
    <s v="Jorn"/>
    <x v="134"/>
    <x v="49"/>
    <n v="1960"/>
    <n v="1"/>
    <n v="1"/>
    <n v="119.62"/>
    <n v="2827113184696"/>
    <n v="81.3"/>
    <n v="25.5"/>
    <n v="30.6"/>
    <n v="66834405"/>
  </r>
  <r>
    <n v="220"/>
    <x v="209"/>
    <x v="7"/>
    <x v="12"/>
    <x v="0"/>
    <x v="126"/>
    <s v="Packaging"/>
    <x v="7"/>
    <x v="0"/>
    <x v="1"/>
    <s v="Rausing"/>
    <s v="Kirsten"/>
    <x v="134"/>
    <x v="34"/>
    <n v="1952"/>
    <n v="6"/>
    <n v="6"/>
    <n v="119.62"/>
    <n v="2827113184696"/>
    <n v="81.3"/>
    <n v="25.5"/>
    <n v="30.6"/>
    <n v="66834405"/>
  </r>
  <r>
    <n v="223"/>
    <x v="210"/>
    <x v="0"/>
    <x v="16"/>
    <x v="0"/>
    <x v="127"/>
    <s v="Ecommerce"/>
    <x v="0"/>
    <x v="1"/>
    <x v="1"/>
    <s v="Bakalchuk"/>
    <s v="Tatyana"/>
    <x v="135"/>
    <x v="44"/>
    <n v="1975"/>
    <n v="10"/>
    <n v="16"/>
    <n v="180.75"/>
    <n v="1699876578871"/>
    <n v="72.7"/>
    <n v="11.4"/>
    <n v="46.2"/>
    <n v="144373535"/>
  </r>
  <r>
    <n v="223"/>
    <x v="211"/>
    <x v="2"/>
    <x v="1"/>
    <x v="1"/>
    <x v="120"/>
    <s v="Venture capital"/>
    <x v="2"/>
    <x v="1"/>
    <x v="0"/>
    <s v="Doerr"/>
    <s v="John"/>
    <x v="135"/>
    <x v="50"/>
    <n v="1951"/>
    <n v="6"/>
    <n v="29"/>
    <n v="117.24"/>
    <n v="21427700000000"/>
    <n v="78.5"/>
    <n v="9.6"/>
    <n v="36.6"/>
    <n v="328239523"/>
  </r>
  <r>
    <n v="223"/>
    <x v="212"/>
    <x v="2"/>
    <x v="5"/>
    <x v="2"/>
    <x v="19"/>
    <s v="E-commerce"/>
    <x v="2"/>
    <x v="1"/>
    <x v="0"/>
    <s v="Liu"/>
    <s v="Richard"/>
    <x v="135"/>
    <x v="12"/>
    <n v="1974"/>
    <n v="3"/>
    <n v="10"/>
    <n v="125.08"/>
    <n v="19910000000000"/>
    <n v="77"/>
    <n v="9.4"/>
    <n v="59.2"/>
    <n v="1397715000"/>
  </r>
  <r>
    <n v="223"/>
    <x v="213"/>
    <x v="2"/>
    <x v="1"/>
    <x v="1"/>
    <x v="116"/>
    <s v="Facebook"/>
    <x v="2"/>
    <x v="1"/>
    <x v="0"/>
    <s v="Moskovitz"/>
    <s v="Dustin"/>
    <x v="135"/>
    <x v="14"/>
    <n v="1984"/>
    <n v="5"/>
    <n v="22"/>
    <n v="117.24"/>
    <n v="21427700000000"/>
    <n v="78.5"/>
    <n v="9.6"/>
    <n v="36.6"/>
    <n v="328239523"/>
  </r>
  <r>
    <n v="223"/>
    <x v="214"/>
    <x v="2"/>
    <x v="1"/>
    <x v="1"/>
    <x v="128"/>
    <s v="EBay, PayPal"/>
    <x v="2"/>
    <x v="1"/>
    <x v="0"/>
    <s v="Omidyar"/>
    <s v="Pierre"/>
    <x v="135"/>
    <x v="40"/>
    <n v="1967"/>
    <n v="6"/>
    <n v="21"/>
    <n v="117.24"/>
    <n v="21427700000000"/>
    <n v="78.5"/>
    <n v="9.6"/>
    <n v="36.6"/>
    <n v="328239523"/>
  </r>
  <r>
    <n v="223"/>
    <x v="215"/>
    <x v="12"/>
    <x v="5"/>
    <x v="2"/>
    <x v="29"/>
    <s v="Batteries"/>
    <x v="12"/>
    <x v="1"/>
    <x v="0"/>
    <s v="Pei"/>
    <s v="Zhenhua"/>
    <x v="135"/>
    <x v="27"/>
    <n v="1959"/>
    <n v="1"/>
    <n v="1"/>
    <n v="125.08"/>
    <n v="19910000000000"/>
    <n v="77"/>
    <n v="9.4"/>
    <n v="59.2"/>
    <n v="1397715000"/>
  </r>
  <r>
    <n v="223"/>
    <x v="216"/>
    <x v="12"/>
    <x v="12"/>
    <x v="0"/>
    <x v="31"/>
    <s v="Oil"/>
    <x v="12"/>
    <x v="0"/>
    <x v="1"/>
    <s v="Perrodo"/>
    <s v="Carrie"/>
    <x v="135"/>
    <x v="24"/>
    <n v="1951"/>
    <n v="1"/>
    <n v="1"/>
    <n v="119.62"/>
    <n v="2827113184696"/>
    <n v="81.3"/>
    <n v="25.5"/>
    <n v="30.6"/>
    <n v="66834405"/>
  </r>
  <r>
    <n v="230"/>
    <x v="217"/>
    <x v="10"/>
    <x v="5"/>
    <x v="2"/>
    <x v="129"/>
    <s v="Chemicals"/>
    <x v="10"/>
    <x v="1"/>
    <x v="0"/>
    <s v="Chen"/>
    <s v="Jianhua"/>
    <x v="136"/>
    <x v="31"/>
    <n v="1971"/>
    <n v="1"/>
    <n v="1"/>
    <n v="125.08"/>
    <n v="19910000000000"/>
    <n v="77"/>
    <n v="9.4"/>
    <n v="59.2"/>
    <n v="1397715000"/>
  </r>
  <r>
    <n v="230"/>
    <x v="218"/>
    <x v="0"/>
    <x v="7"/>
    <x v="0"/>
    <x v="123"/>
    <s v="Retail, real estate"/>
    <x v="0"/>
    <x v="0"/>
    <x v="0"/>
    <s v="Otto"/>
    <s v="Michael"/>
    <x v="136"/>
    <x v="53"/>
    <n v="1943"/>
    <n v="4"/>
    <n v="12"/>
    <n v="112.85"/>
    <n v="3845630030824"/>
    <n v="80.900000000000006"/>
    <n v="11.5"/>
    <n v="48.8"/>
    <n v="83132799"/>
  </r>
  <r>
    <n v="232"/>
    <x v="219"/>
    <x v="3"/>
    <x v="1"/>
    <x v="1"/>
    <x v="5"/>
    <s v="Private equity"/>
    <x v="3"/>
    <x v="1"/>
    <x v="0"/>
    <s v="Black"/>
    <s v="Leon"/>
    <x v="137"/>
    <x v="50"/>
    <n v="1951"/>
    <n v="7"/>
    <n v="31"/>
    <n v="117.24"/>
    <n v="21427700000000"/>
    <n v="78.5"/>
    <n v="9.6"/>
    <n v="36.6"/>
    <n v="328239523"/>
  </r>
  <r>
    <n v="232"/>
    <x v="220"/>
    <x v="3"/>
    <x v="29"/>
    <x v="2"/>
    <x v="130"/>
    <s v="Investments"/>
    <x v="3"/>
    <x v="1"/>
    <x v="0"/>
    <s v="Hart"/>
    <s v="Graeme"/>
    <x v="137"/>
    <x v="5"/>
    <n v="1955"/>
    <n v="6"/>
    <n v="6"/>
    <n v="114.24"/>
    <n v="206928765544"/>
    <n v="81.900000000000006"/>
    <n v="29"/>
    <n v="34.6"/>
    <n v="4841000"/>
  </r>
  <r>
    <n v="232"/>
    <x v="221"/>
    <x v="7"/>
    <x v="3"/>
    <x v="2"/>
    <x v="39"/>
    <s v="Soft drinks, fast food"/>
    <x v="7"/>
    <x v="0"/>
    <x v="0"/>
    <s v="Jaipuria"/>
    <s v="Ravi"/>
    <x v="137"/>
    <x v="13"/>
    <n v="1954"/>
    <n v="11"/>
    <n v="28"/>
    <n v="180.44"/>
    <n v="2611000000000"/>
    <n v="69.400000000000006"/>
    <n v="11.2"/>
    <n v="49.7"/>
    <n v="1366417754"/>
  </r>
  <r>
    <n v="232"/>
    <x v="222"/>
    <x v="2"/>
    <x v="7"/>
    <x v="0"/>
    <x v="131"/>
    <s v="Software"/>
    <x v="2"/>
    <x v="1"/>
    <x v="0"/>
    <s v="Plattner"/>
    <s v="Hasso"/>
    <x v="137"/>
    <x v="53"/>
    <n v="1944"/>
    <n v="1"/>
    <n v="21"/>
    <n v="112.85"/>
    <n v="3845630030824"/>
    <n v="80.900000000000006"/>
    <n v="11.5"/>
    <n v="48.8"/>
    <n v="83132799"/>
  </r>
  <r>
    <n v="232"/>
    <x v="223"/>
    <x v="7"/>
    <x v="8"/>
    <x v="0"/>
    <x v="132"/>
    <s v="Beer"/>
    <x v="7"/>
    <x v="1"/>
    <x v="0"/>
    <s v="Sicupira"/>
    <s v="Carlos Alberto"/>
    <x v="137"/>
    <x v="41"/>
    <n v="1948"/>
    <n v="1"/>
    <n v="1"/>
    <n v="99.55"/>
    <n v="703082435360"/>
    <n v="83.6"/>
    <n v="10.1"/>
    <n v="28.8"/>
    <n v="8574832"/>
  </r>
  <r>
    <n v="232"/>
    <x v="224"/>
    <x v="15"/>
    <x v="30"/>
    <x v="2"/>
    <x v="133"/>
    <s v="Real estate"/>
    <x v="15"/>
    <x v="1"/>
    <x v="0"/>
    <s v="Villar"/>
    <s v="Manuel"/>
    <x v="137"/>
    <x v="16"/>
    <n v="1949"/>
    <n v="12"/>
    <n v="13"/>
    <n v="129.61000000000001"/>
    <n v="376795508680"/>
    <n v="71.099999999999994"/>
    <n v="14"/>
    <n v="43.1"/>
    <n v="108116615"/>
  </r>
  <r>
    <n v="232"/>
    <x v="225"/>
    <x v="2"/>
    <x v="1"/>
    <x v="1"/>
    <x v="9"/>
    <s v="Google"/>
    <x v="2"/>
    <x v="1"/>
    <x v="0"/>
    <s v="von Bechtolsheim"/>
    <s v="Andreas"/>
    <x v="137"/>
    <x v="5"/>
    <n v="1955"/>
    <n v="9"/>
    <n v="30"/>
    <n v="117.24"/>
    <n v="21427700000000"/>
    <n v="78.5"/>
    <n v="9.6"/>
    <n v="36.6"/>
    <n v="328239523"/>
  </r>
  <r>
    <n v="239"/>
    <x v="226"/>
    <x v="3"/>
    <x v="1"/>
    <x v="1"/>
    <x v="5"/>
    <s v="Investments"/>
    <x v="3"/>
    <x v="1"/>
    <x v="0"/>
    <s v="Coleman"/>
    <s v="Chase"/>
    <x v="138"/>
    <x v="44"/>
    <n v="1975"/>
    <n v="6"/>
    <n v="21"/>
    <n v="117.24"/>
    <n v="21427700000000"/>
    <n v="78.5"/>
    <n v="9.6"/>
    <n v="36.6"/>
    <n v="328239523"/>
  </r>
  <r>
    <n v="239"/>
    <x v="227"/>
    <x v="0"/>
    <x v="1"/>
    <x v="1"/>
    <x v="80"/>
    <s v="Walmart"/>
    <x v="0"/>
    <x v="0"/>
    <x v="1"/>
    <s v="Kroenke"/>
    <s v="Ann Walton"/>
    <x v="138"/>
    <x v="0"/>
    <n v="1948"/>
    <n v="12"/>
    <n v="18"/>
    <n v="117.24"/>
    <n v="21427700000000"/>
    <n v="78.5"/>
    <n v="9.6"/>
    <n v="36.6"/>
    <n v="328239523"/>
  </r>
  <r>
    <n v="239"/>
    <x v="228"/>
    <x v="10"/>
    <x v="5"/>
    <x v="2"/>
    <x v="134"/>
    <s v="Solar wafers and modules"/>
    <x v="10"/>
    <x v="1"/>
    <x v="0"/>
    <s v="Li"/>
    <s v="Zhenguo"/>
    <x v="138"/>
    <x v="40"/>
    <n v="1968"/>
    <n v="1"/>
    <n v="1"/>
    <n v="125.08"/>
    <n v="19910000000000"/>
    <n v="77"/>
    <n v="9.4"/>
    <n v="59.2"/>
    <n v="1397715000"/>
  </r>
  <r>
    <n v="242"/>
    <x v="229"/>
    <x v="4"/>
    <x v="1"/>
    <x v="1"/>
    <x v="135"/>
    <s v="Media, automotive"/>
    <x v="4"/>
    <x v="0"/>
    <x v="0"/>
    <s v="Kennedy"/>
    <s v="Jim"/>
    <x v="139"/>
    <x v="41"/>
    <n v="1947"/>
    <n v="11"/>
    <n v="29"/>
    <n v="117.24"/>
    <n v="21427700000000"/>
    <n v="78.5"/>
    <n v="9.6"/>
    <n v="36.6"/>
    <n v="328239523"/>
  </r>
  <r>
    <n v="242"/>
    <x v="230"/>
    <x v="11"/>
    <x v="25"/>
    <x v="0"/>
    <x v="136"/>
    <s v="Diamonds"/>
    <x v="11"/>
    <x v="0"/>
    <x v="0"/>
    <s v="Oppenheimer"/>
    <s v="Nicky"/>
    <x v="139"/>
    <x v="21"/>
    <n v="1945"/>
    <n v="6"/>
    <n v="8"/>
    <n v="158.93"/>
    <n v="351431649241"/>
    <n v="63.9"/>
    <n v="27.5"/>
    <n v="29.2"/>
    <n v="58558270"/>
  </r>
  <r>
    <n v="242"/>
    <x v="231"/>
    <x v="4"/>
    <x v="13"/>
    <x v="2"/>
    <x v="137"/>
    <s v="Media, automotive"/>
    <x v="4"/>
    <x v="0"/>
    <x v="1"/>
    <s v="Parry-Okeden"/>
    <s v="Blair"/>
    <x v="139"/>
    <x v="24"/>
    <n v="1950"/>
    <n v="5"/>
    <n v="21"/>
    <n v="119.8"/>
    <n v="1392680589329"/>
    <n v="82.7"/>
    <n v="23"/>
    <n v="47.4"/>
    <n v="25766605"/>
  </r>
  <r>
    <n v="242"/>
    <x v="232"/>
    <x v="11"/>
    <x v="5"/>
    <x v="2"/>
    <x v="138"/>
    <s v="Aluminum products"/>
    <x v="11"/>
    <x v="0"/>
    <x v="1"/>
    <s v="Zheng"/>
    <s v="Shuliang"/>
    <x v="139"/>
    <x v="21"/>
    <n v="1946"/>
    <n v="1"/>
    <n v="1"/>
    <n v="125.08"/>
    <n v="19910000000000"/>
    <n v="77"/>
    <n v="9.4"/>
    <n v="59.2"/>
    <n v="1397715000"/>
  </r>
  <r>
    <n v="246"/>
    <x v="233"/>
    <x v="0"/>
    <x v="1"/>
    <x v="1"/>
    <x v="139"/>
    <s v="Sporting goods retail"/>
    <x v="0"/>
    <x v="1"/>
    <x v="0"/>
    <s v="Morris"/>
    <s v="John"/>
    <x v="140"/>
    <x v="41"/>
    <n v="1948"/>
    <n v="3"/>
    <n v="19"/>
    <n v="117.24"/>
    <n v="21427700000000"/>
    <n v="78.5"/>
    <n v="9.6"/>
    <n v="36.6"/>
    <n v="328239523"/>
  </r>
  <r>
    <n v="249"/>
    <x v="234"/>
    <x v="12"/>
    <x v="16"/>
    <x v="0"/>
    <x v="46"/>
    <s v="Oil, banking, telecom"/>
    <x v="12"/>
    <x v="1"/>
    <x v="0"/>
    <s v="Khan"/>
    <s v="German"/>
    <x v="141"/>
    <x v="36"/>
    <n v="1961"/>
    <n v="10"/>
    <n v="24"/>
    <n v="180.75"/>
    <n v="1699876578871"/>
    <n v="72.7"/>
    <n v="11.4"/>
    <n v="46.2"/>
    <n v="144373535"/>
  </r>
  <r>
    <n v="249"/>
    <x v="235"/>
    <x v="6"/>
    <x v="22"/>
    <x v="0"/>
    <x v="73"/>
    <s v="Cement, sugar"/>
    <x v="6"/>
    <x v="0"/>
    <x v="0"/>
    <s v="Rabiu"/>
    <s v="Abdulsamad"/>
    <x v="141"/>
    <x v="32"/>
    <n v="1960"/>
    <n v="8"/>
    <n v="4"/>
    <n v="267.51"/>
    <n v="448120428859"/>
    <n v="54.3"/>
    <n v="1.5"/>
    <n v="34.799999999999997"/>
    <n v="200963599"/>
  </r>
  <r>
    <n v="249"/>
    <x v="236"/>
    <x v="3"/>
    <x v="1"/>
    <x v="1"/>
    <x v="67"/>
    <s v="Private equity"/>
    <x v="3"/>
    <x v="1"/>
    <x v="0"/>
    <s v="Roberts"/>
    <s v="George"/>
    <x v="141"/>
    <x v="53"/>
    <n v="1943"/>
    <n v="9"/>
    <n v="14"/>
    <n v="117.24"/>
    <n v="21427700000000"/>
    <n v="78.5"/>
    <n v="9.6"/>
    <n v="36.6"/>
    <n v="328239523"/>
  </r>
  <r>
    <n v="249"/>
    <x v="237"/>
    <x v="15"/>
    <x v="3"/>
    <x v="2"/>
    <x v="39"/>
    <s v="Real estate"/>
    <x v="15"/>
    <x v="0"/>
    <x v="0"/>
    <s v="Singh"/>
    <s v="Kushal Pal"/>
    <x v="141"/>
    <x v="54"/>
    <n v="1931"/>
    <n v="8"/>
    <n v="15"/>
    <n v="180.44"/>
    <n v="2611000000000"/>
    <n v="69.400000000000006"/>
    <n v="11.2"/>
    <n v="49.7"/>
    <n v="1366417754"/>
  </r>
  <r>
    <n v="249"/>
    <x v="238"/>
    <x v="15"/>
    <x v="5"/>
    <x v="2"/>
    <x v="19"/>
    <s v="Real estate"/>
    <x v="15"/>
    <x v="1"/>
    <x v="0"/>
    <s v="Wang"/>
    <s v="Jianlin"/>
    <x v="141"/>
    <x v="13"/>
    <n v="1954"/>
    <n v="10"/>
    <n v="1"/>
    <n v="125.08"/>
    <n v="19910000000000"/>
    <n v="77"/>
    <n v="9.4"/>
    <n v="59.2"/>
    <n v="1397715000"/>
  </r>
  <r>
    <n v="249"/>
    <x v="239"/>
    <x v="15"/>
    <x v="5"/>
    <x v="2"/>
    <x v="47"/>
    <s v="Real estate"/>
    <x v="15"/>
    <x v="0"/>
    <x v="1"/>
    <s v="Yang"/>
    <s v="Huiyan"/>
    <x v="141"/>
    <x v="47"/>
    <n v="1981"/>
    <n v="9"/>
    <n v="27"/>
    <n v="125.08"/>
    <n v="19910000000000"/>
    <n v="77"/>
    <n v="9.4"/>
    <n v="59.2"/>
    <n v="1397715000"/>
  </r>
  <r>
    <n v="256"/>
    <x v="240"/>
    <x v="6"/>
    <x v="0"/>
    <x v="0"/>
    <x v="0"/>
    <s v="Diversified"/>
    <x v="6"/>
    <x v="0"/>
    <x v="0"/>
    <s v="Dassault"/>
    <s v="Laurent"/>
    <x v="142"/>
    <x v="9"/>
    <n v="1953"/>
    <n v="7"/>
    <n v="7"/>
    <n v="110.05"/>
    <n v="2715518274227"/>
    <n v="82.5"/>
    <n v="24.2"/>
    <n v="60.7"/>
    <n v="67059887"/>
  </r>
  <r>
    <n v="256"/>
    <x v="241"/>
    <x v="6"/>
    <x v="0"/>
    <x v="0"/>
    <x v="0"/>
    <s v="Diversified"/>
    <x v="6"/>
    <x v="0"/>
    <x v="0"/>
    <s v="Dassault"/>
    <s v="Thierry"/>
    <x v="142"/>
    <x v="35"/>
    <n v="1957"/>
    <n v="3"/>
    <n v="26"/>
    <n v="110.05"/>
    <n v="2715518274227"/>
    <n v="82.5"/>
    <n v="24.2"/>
    <n v="60.7"/>
    <n v="67059887"/>
  </r>
  <r>
    <n v="256"/>
    <x v="242"/>
    <x v="7"/>
    <x v="1"/>
    <x v="1"/>
    <x v="98"/>
    <s v="Houston Rockets, entertainment"/>
    <x v="7"/>
    <x v="1"/>
    <x v="0"/>
    <s v="Fertitta"/>
    <s v="Tilman"/>
    <x v="142"/>
    <x v="8"/>
    <n v="1957"/>
    <n v="6"/>
    <n v="25"/>
    <n v="117.24"/>
    <n v="21427700000000"/>
    <n v="78.5"/>
    <n v="9.6"/>
    <n v="36.6"/>
    <n v="328239523"/>
  </r>
  <r>
    <n v="256"/>
    <x v="243"/>
    <x v="6"/>
    <x v="0"/>
    <x v="0"/>
    <x v="0"/>
    <s v="Diversified"/>
    <x v="6"/>
    <x v="0"/>
    <x v="1"/>
    <s v="Habert-Dassault"/>
    <s v="Marie-Hélène"/>
    <x v="142"/>
    <x v="17"/>
    <n v="1965"/>
    <n v="4"/>
    <n v="4"/>
    <n v="110.05"/>
    <n v="2715518274227"/>
    <n v="82.5"/>
    <n v="24.2"/>
    <n v="60.7"/>
    <n v="67059887"/>
  </r>
  <r>
    <n v="256"/>
    <x v="244"/>
    <x v="9"/>
    <x v="8"/>
    <x v="0"/>
    <x v="140"/>
    <s v="Oil and gas, IT, lotteries"/>
    <x v="9"/>
    <x v="1"/>
    <x v="0"/>
    <s v="Komarek"/>
    <s v="Karel"/>
    <x v="142"/>
    <x v="22"/>
    <n v="1969"/>
    <n v="3"/>
    <n v="15"/>
    <n v="99.55"/>
    <n v="703082435360"/>
    <n v="83.6"/>
    <n v="10.1"/>
    <n v="28.8"/>
    <n v="8574832"/>
  </r>
  <r>
    <n v="261"/>
    <x v="245"/>
    <x v="2"/>
    <x v="1"/>
    <x v="1"/>
    <x v="116"/>
    <s v="Airbnb"/>
    <x v="2"/>
    <x v="1"/>
    <x v="0"/>
    <s v="Blecharczyk"/>
    <s v="Nathan"/>
    <x v="143"/>
    <x v="19"/>
    <n v="1983"/>
    <n v="6"/>
    <n v="11"/>
    <n v="117.24"/>
    <n v="21427700000000"/>
    <n v="78.5"/>
    <n v="9.6"/>
    <n v="36.6"/>
    <n v="328239523"/>
  </r>
  <r>
    <n v="261"/>
    <x v="246"/>
    <x v="12"/>
    <x v="16"/>
    <x v="0"/>
    <x v="46"/>
    <s v="Oil"/>
    <x v="12"/>
    <x v="1"/>
    <x v="0"/>
    <s v="Fedun"/>
    <s v="Leonid"/>
    <x v="143"/>
    <x v="35"/>
    <n v="1956"/>
    <n v="4"/>
    <n v="5"/>
    <n v="180.75"/>
    <n v="1699876578871"/>
    <n v="72.7"/>
    <n v="11.4"/>
    <n v="46.2"/>
    <n v="144373535"/>
  </r>
  <r>
    <n v="261"/>
    <x v="247"/>
    <x v="0"/>
    <x v="1"/>
    <x v="1"/>
    <x v="135"/>
    <s v="Home Depot"/>
    <x v="0"/>
    <x v="1"/>
    <x v="0"/>
    <s v="Marcus"/>
    <s v="Bernard"/>
    <x v="143"/>
    <x v="46"/>
    <n v="1929"/>
    <n v="5"/>
    <n v="12"/>
    <n v="117.24"/>
    <n v="21427700000000"/>
    <n v="78.5"/>
    <n v="9.6"/>
    <n v="36.6"/>
    <n v="328239523"/>
  </r>
  <r>
    <n v="261"/>
    <x v="248"/>
    <x v="3"/>
    <x v="1"/>
    <x v="1"/>
    <x v="141"/>
    <s v="Insurance"/>
    <x v="3"/>
    <x v="1"/>
    <x v="0"/>
    <s v="Ryan"/>
    <s v="Patrick"/>
    <x v="143"/>
    <x v="18"/>
    <n v="1937"/>
    <n v="5"/>
    <n v="15"/>
    <n v="117.24"/>
    <n v="21427700000000"/>
    <n v="78.5"/>
    <n v="9.6"/>
    <n v="36.6"/>
    <n v="328239523"/>
  </r>
  <r>
    <n v="261"/>
    <x v="249"/>
    <x v="3"/>
    <x v="1"/>
    <x v="1"/>
    <x v="1"/>
    <s v="Private equity"/>
    <x v="3"/>
    <x v="1"/>
    <x v="0"/>
    <s v="Smith"/>
    <s v="Robert F."/>
    <x v="143"/>
    <x v="15"/>
    <n v="1962"/>
    <n v="12"/>
    <n v="1"/>
    <n v="117.24"/>
    <n v="21427700000000"/>
    <n v="78.5"/>
    <n v="9.6"/>
    <n v="36.6"/>
    <n v="328239523"/>
  </r>
  <r>
    <n v="261"/>
    <x v="250"/>
    <x v="11"/>
    <x v="18"/>
    <x v="0"/>
    <x v="65"/>
    <s v="Coal mines"/>
    <x v="11"/>
    <x v="1"/>
    <x v="0"/>
    <s v="Tykac"/>
    <s v="Pavel"/>
    <x v="143"/>
    <x v="17"/>
    <n v="1964"/>
    <n v="5"/>
    <n v="15"/>
    <n v="116.48"/>
    <n v="246489245495"/>
    <n v="79"/>
    <n v="14.9"/>
    <n v="46.1"/>
    <n v="10669709"/>
  </r>
  <r>
    <n v="268"/>
    <x v="251"/>
    <x v="3"/>
    <x v="1"/>
    <x v="1"/>
    <x v="142"/>
    <s v="Private equity"/>
    <x v="3"/>
    <x v="1"/>
    <x v="0"/>
    <s v="Bravo"/>
    <s v="Orlando"/>
    <x v="144"/>
    <x v="31"/>
    <n v="1970"/>
    <n v="9"/>
    <n v="23"/>
    <n v="117.24"/>
    <n v="21427700000000"/>
    <n v="78.5"/>
    <n v="9.6"/>
    <n v="36.6"/>
    <n v="328239523"/>
  </r>
  <r>
    <n v="268"/>
    <x v="252"/>
    <x v="0"/>
    <x v="5"/>
    <x v="2"/>
    <x v="143"/>
    <s v="Sports apparel"/>
    <x v="0"/>
    <x v="1"/>
    <x v="0"/>
    <s v="Ding"/>
    <s v="Shizhong"/>
    <x v="144"/>
    <x v="31"/>
    <n v="1970"/>
    <n v="12"/>
    <n v="1"/>
    <n v="125.08"/>
    <n v="19910000000000"/>
    <n v="77"/>
    <n v="9.4"/>
    <n v="59.2"/>
    <n v="1397715000"/>
  </r>
  <r>
    <n v="268"/>
    <x v="253"/>
    <x v="0"/>
    <x v="1"/>
    <x v="1"/>
    <x v="144"/>
    <s v="Walmart"/>
    <x v="0"/>
    <x v="0"/>
    <x v="1"/>
    <s v="Laurie"/>
    <s v="Nancy Walton"/>
    <x v="144"/>
    <x v="50"/>
    <n v="1951"/>
    <n v="5"/>
    <n v="15"/>
    <n v="117.24"/>
    <n v="21427700000000"/>
    <n v="78.5"/>
    <n v="9.6"/>
    <n v="36.6"/>
    <n v="328239523"/>
  </r>
  <r>
    <n v="268"/>
    <x v="254"/>
    <x v="2"/>
    <x v="28"/>
    <x v="2"/>
    <x v="105"/>
    <s v="Samsung"/>
    <x v="2"/>
    <x v="0"/>
    <x v="0"/>
    <s v="Lee"/>
    <s v="Jay Y."/>
    <x v="144"/>
    <x v="22"/>
    <n v="1968"/>
    <n v="6"/>
    <n v="23"/>
    <n v="115.16"/>
    <n v="2029000000000"/>
    <n v="82.6"/>
    <n v="15.6"/>
    <n v="33.200000000000003"/>
    <n v="51709098"/>
  </r>
  <r>
    <n v="268"/>
    <x v="255"/>
    <x v="3"/>
    <x v="1"/>
    <x v="1"/>
    <x v="5"/>
    <s v="Private equity"/>
    <x v="3"/>
    <x v="1"/>
    <x v="0"/>
    <s v="Musallam"/>
    <s v="Ramzi"/>
    <x v="144"/>
    <x v="22"/>
    <n v="1968"/>
    <n v="9"/>
    <n v="17"/>
    <n v="117.24"/>
    <n v="21427700000000"/>
    <n v="78.5"/>
    <n v="9.6"/>
    <n v="36.6"/>
    <n v="328239523"/>
  </r>
  <r>
    <n v="268"/>
    <x v="256"/>
    <x v="3"/>
    <x v="1"/>
    <x v="1"/>
    <x v="5"/>
    <s v="Hedge funds"/>
    <x v="3"/>
    <x v="1"/>
    <x v="0"/>
    <s v="Shaw"/>
    <s v="David"/>
    <x v="144"/>
    <x v="24"/>
    <n v="1951"/>
    <n v="3"/>
    <n v="29"/>
    <n v="117.24"/>
    <n v="21427700000000"/>
    <n v="78.5"/>
    <n v="9.6"/>
    <n v="36.6"/>
    <n v="328239523"/>
  </r>
  <r>
    <n v="268"/>
    <x v="257"/>
    <x v="11"/>
    <x v="16"/>
    <x v="0"/>
    <x v="46"/>
    <s v="Metals and mining"/>
    <x v="11"/>
    <x v="1"/>
    <x v="0"/>
    <s v="Skoch &amp; family"/>
    <s v="Andrei"/>
    <x v="144"/>
    <x v="39"/>
    <n v="1966"/>
    <n v="1"/>
    <n v="30"/>
    <n v="180.75"/>
    <n v="1699876578871"/>
    <n v="72.7"/>
    <n v="11.4"/>
    <n v="46.2"/>
    <n v="144373535"/>
  </r>
  <r>
    <n v="268"/>
    <x v="258"/>
    <x v="6"/>
    <x v="10"/>
    <x v="0"/>
    <x v="145"/>
    <s v="Real estate, construction"/>
    <x v="6"/>
    <x v="1"/>
    <x v="0"/>
    <s v="Stumpf"/>
    <s v="Georg"/>
    <x v="144"/>
    <x v="10"/>
    <n v="1972"/>
    <n v="9"/>
    <n v="14"/>
    <n v="118.06"/>
    <n v="446314739528"/>
    <n v="81.599999999999994"/>
    <n v="25.4"/>
    <n v="51.4"/>
    <n v="8877067"/>
  </r>
  <r>
    <n v="276"/>
    <x v="259"/>
    <x v="5"/>
    <x v="1"/>
    <x v="1"/>
    <x v="146"/>
    <s v="Telecom"/>
    <x v="5"/>
    <x v="1"/>
    <x v="0"/>
    <s v="Commisso"/>
    <s v="Rocco"/>
    <x v="145"/>
    <x v="16"/>
    <n v="1949"/>
    <n v="11"/>
    <n v="25"/>
    <n v="117.24"/>
    <n v="21427700000000"/>
    <n v="78.5"/>
    <n v="9.6"/>
    <n v="36.6"/>
    <n v="328239523"/>
  </r>
  <r>
    <n v="276"/>
    <x v="260"/>
    <x v="10"/>
    <x v="5"/>
    <x v="2"/>
    <x v="12"/>
    <s v="Petrochemicals"/>
    <x v="10"/>
    <x v="1"/>
    <x v="0"/>
    <s v="Li"/>
    <s v="Shuirong"/>
    <x v="145"/>
    <x v="35"/>
    <n v="1956"/>
    <n v="7"/>
    <n v="1"/>
    <n v="125.08"/>
    <n v="19910000000000"/>
    <n v="77"/>
    <n v="9.4"/>
    <n v="59.2"/>
    <n v="1397715000"/>
  </r>
  <r>
    <n v="276"/>
    <x v="261"/>
    <x v="2"/>
    <x v="5"/>
    <x v="2"/>
    <x v="33"/>
    <s v="Financial information"/>
    <x v="2"/>
    <x v="1"/>
    <x v="0"/>
    <s v="Qi"/>
    <s v="Shi"/>
    <x v="145"/>
    <x v="48"/>
    <n v="1970"/>
    <n v="1"/>
    <n v="3"/>
    <n v="125.08"/>
    <n v="19910000000000"/>
    <n v="77"/>
    <n v="9.4"/>
    <n v="59.2"/>
    <n v="1397715000"/>
  </r>
  <r>
    <n v="276"/>
    <x v="262"/>
    <x v="10"/>
    <x v="5"/>
    <x v="2"/>
    <x v="78"/>
    <s v="Furniture"/>
    <x v="10"/>
    <x v="1"/>
    <x v="0"/>
    <s v="Yao"/>
    <s v="Liangsong"/>
    <x v="145"/>
    <x v="17"/>
    <n v="1964"/>
    <n v="8"/>
    <n v="1"/>
    <n v="125.08"/>
    <n v="19910000000000"/>
    <n v="77"/>
    <n v="9.4"/>
    <n v="59.2"/>
    <n v="1397715000"/>
  </r>
  <r>
    <n v="282"/>
    <x v="263"/>
    <x v="7"/>
    <x v="0"/>
    <x v="0"/>
    <x v="50"/>
    <s v="Cheese"/>
    <x v="7"/>
    <x v="0"/>
    <x v="0"/>
    <s v="Besnier"/>
    <s v="Jean-Michel"/>
    <x v="146"/>
    <x v="40"/>
    <n v="1967"/>
    <n v="6"/>
    <n v="5"/>
    <n v="110.05"/>
    <n v="2715518274227"/>
    <n v="82.5"/>
    <n v="24.2"/>
    <n v="60.7"/>
    <n v="67059887"/>
  </r>
  <r>
    <n v="282"/>
    <x v="264"/>
    <x v="7"/>
    <x v="0"/>
    <x v="0"/>
    <x v="50"/>
    <s v="Cheese"/>
    <x v="7"/>
    <x v="0"/>
    <x v="1"/>
    <s v="Besnier Beauvalot"/>
    <s v="Marie"/>
    <x v="146"/>
    <x v="55"/>
    <n v="1980"/>
    <n v="7"/>
    <n v="30"/>
    <n v="110.05"/>
    <n v="2715518274227"/>
    <n v="82.5"/>
    <n v="24.2"/>
    <n v="60.7"/>
    <n v="67059887"/>
  </r>
  <r>
    <n v="282"/>
    <x v="265"/>
    <x v="4"/>
    <x v="1"/>
    <x v="1"/>
    <x v="121"/>
    <s v="Movies, record labels"/>
    <x v="4"/>
    <x v="1"/>
    <x v="0"/>
    <s v="Geffen"/>
    <s v="David"/>
    <x v="146"/>
    <x v="33"/>
    <n v="1943"/>
    <n v="2"/>
    <n v="21"/>
    <n v="117.24"/>
    <n v="21427700000000"/>
    <n v="78.5"/>
    <n v="9.6"/>
    <n v="36.6"/>
    <n v="328239523"/>
  </r>
  <r>
    <n v="282"/>
    <x v="266"/>
    <x v="2"/>
    <x v="5"/>
    <x v="2"/>
    <x v="19"/>
    <s v="Internet search"/>
    <x v="2"/>
    <x v="1"/>
    <x v="0"/>
    <s v="Li"/>
    <s v="Robin"/>
    <x v="146"/>
    <x v="22"/>
    <n v="1968"/>
    <n v="11"/>
    <n v="17"/>
    <n v="125.08"/>
    <n v="19910000000000"/>
    <n v="77"/>
    <n v="9.4"/>
    <n v="59.2"/>
    <n v="1397715000"/>
  </r>
  <r>
    <n v="282"/>
    <x v="267"/>
    <x v="14"/>
    <x v="5"/>
    <x v="2"/>
    <x v="86"/>
    <s v="Agribusiness"/>
    <x v="14"/>
    <x v="1"/>
    <x v="0"/>
    <s v="Liu"/>
    <s v="Yonghao"/>
    <x v="146"/>
    <x v="50"/>
    <n v="1951"/>
    <n v="9"/>
    <n v="1"/>
    <n v="125.08"/>
    <n v="19910000000000"/>
    <n v="77"/>
    <n v="9.4"/>
    <n v="59.2"/>
    <n v="1397715000"/>
  </r>
  <r>
    <n v="282"/>
    <x v="268"/>
    <x v="2"/>
    <x v="1"/>
    <x v="1"/>
    <x v="61"/>
    <s v="Semiconductors"/>
    <x v="2"/>
    <x v="1"/>
    <x v="0"/>
    <s v="Samueli"/>
    <s v="Henry"/>
    <x v="146"/>
    <x v="13"/>
    <n v="1954"/>
    <n v="9"/>
    <n v="20"/>
    <n v="117.24"/>
    <n v="21427700000000"/>
    <n v="78.5"/>
    <n v="9.6"/>
    <n v="36.6"/>
    <n v="328239523"/>
  </r>
  <r>
    <n v="282"/>
    <x v="269"/>
    <x v="13"/>
    <x v="1"/>
    <x v="1"/>
    <x v="83"/>
    <s v="Medical devices"/>
    <x v="13"/>
    <x v="1"/>
    <x v="0"/>
    <s v="Schmieding"/>
    <s v="Reinhold"/>
    <x v="146"/>
    <x v="13"/>
    <n v="1955"/>
    <n v="1"/>
    <n v="3"/>
    <n v="117.24"/>
    <n v="21427700000000"/>
    <n v="78.5"/>
    <n v="9.6"/>
    <n v="36.6"/>
    <n v="328239523"/>
  </r>
  <r>
    <n v="282"/>
    <x v="270"/>
    <x v="15"/>
    <x v="31"/>
    <x v="0"/>
    <x v="147"/>
    <s v="Real estate"/>
    <x v="15"/>
    <x v="1"/>
    <x v="0"/>
    <s v="Tollefsen"/>
    <s v="Ivar"/>
    <x v="146"/>
    <x v="36"/>
    <n v="1961"/>
    <n v="6"/>
    <n v="23"/>
    <n v="120.27"/>
    <n v="403336363636"/>
    <n v="82.8"/>
    <n v="23.9"/>
    <n v="36.200000000000003"/>
    <n v="5347896"/>
  </r>
  <r>
    <n v="290"/>
    <x v="271"/>
    <x v="12"/>
    <x v="5"/>
    <x v="2"/>
    <x v="148"/>
    <s v="Photovoltaic equipment"/>
    <x v="12"/>
    <x v="1"/>
    <x v="0"/>
    <s v="Cao"/>
    <s v="Renxian"/>
    <x v="147"/>
    <x v="22"/>
    <n v="1968"/>
    <n v="7"/>
    <n v="24"/>
    <n v="125.08"/>
    <n v="19910000000000"/>
    <n v="77"/>
    <n v="9.4"/>
    <n v="59.2"/>
    <n v="1397715000"/>
  </r>
  <r>
    <n v="290"/>
    <x v="272"/>
    <x v="13"/>
    <x v="3"/>
    <x v="2"/>
    <x v="17"/>
    <s v="Pharmaceuticals"/>
    <x v="13"/>
    <x v="1"/>
    <x v="0"/>
    <s v="Chudgar"/>
    <s v="Hasmukh"/>
    <x v="147"/>
    <x v="56"/>
    <n v="1933"/>
    <n v="9"/>
    <n v="19"/>
    <n v="180.44"/>
    <n v="2611000000000"/>
    <n v="69.400000000000006"/>
    <n v="11.2"/>
    <n v="49.7"/>
    <n v="1366417754"/>
  </r>
  <r>
    <n v="290"/>
    <x v="273"/>
    <x v="10"/>
    <x v="12"/>
    <x v="0"/>
    <x v="31"/>
    <s v="Chemicals"/>
    <x v="10"/>
    <x v="1"/>
    <x v="0"/>
    <s v="Currie"/>
    <s v="Andrew"/>
    <x v="147"/>
    <x v="5"/>
    <n v="1955"/>
    <n v="12"/>
    <n v="4"/>
    <n v="119.62"/>
    <n v="2827113184696"/>
    <n v="81.3"/>
    <n v="25.5"/>
    <n v="30.6"/>
    <n v="66834405"/>
  </r>
  <r>
    <n v="290"/>
    <x v="274"/>
    <x v="2"/>
    <x v="1"/>
    <x v="1"/>
    <x v="1"/>
    <s v="Airbnb"/>
    <x v="2"/>
    <x v="1"/>
    <x v="0"/>
    <s v="Gebbia"/>
    <s v="Joe"/>
    <x v="147"/>
    <x v="47"/>
    <n v="1981"/>
    <n v="8"/>
    <n v="21"/>
    <n v="117.24"/>
    <n v="21427700000000"/>
    <n v="78.5"/>
    <n v="9.6"/>
    <n v="36.6"/>
    <n v="328239523"/>
  </r>
  <r>
    <n v="290"/>
    <x v="275"/>
    <x v="15"/>
    <x v="21"/>
    <x v="2"/>
    <x v="72"/>
    <s v="Real Estate"/>
    <x v="15"/>
    <x v="0"/>
    <x v="0"/>
    <s v="Ng"/>
    <s v="Philip"/>
    <x v="147"/>
    <x v="27"/>
    <n v="1959"/>
    <n v="1"/>
    <n v="1"/>
    <n v="114.41"/>
    <n v="372062527489"/>
    <n v="83.1"/>
    <n v="13.1"/>
    <n v="21"/>
    <n v="5703569"/>
  </r>
  <r>
    <n v="290"/>
    <x v="276"/>
    <x v="10"/>
    <x v="12"/>
    <x v="0"/>
    <x v="31"/>
    <s v="Chemicals"/>
    <x v="10"/>
    <x v="1"/>
    <x v="0"/>
    <s v="Reece"/>
    <s v="John"/>
    <x v="147"/>
    <x v="35"/>
    <n v="1957"/>
    <n v="3"/>
    <n v="7"/>
    <n v="119.62"/>
    <n v="2827113184696"/>
    <n v="81.3"/>
    <n v="25.5"/>
    <n v="30.6"/>
    <n v="66834405"/>
  </r>
  <r>
    <n v="290"/>
    <x v="277"/>
    <x v="15"/>
    <x v="1"/>
    <x v="1"/>
    <x v="5"/>
    <s v="Real estate"/>
    <x v="15"/>
    <x v="0"/>
    <x v="0"/>
    <s v="Stern"/>
    <s v="Leonard"/>
    <x v="147"/>
    <x v="18"/>
    <n v="1938"/>
    <n v="3"/>
    <n v="28"/>
    <n v="117.24"/>
    <n v="21427700000000"/>
    <n v="78.5"/>
    <n v="9.6"/>
    <n v="36.6"/>
    <n v="328239523"/>
  </r>
  <r>
    <n v="290"/>
    <x v="278"/>
    <x v="13"/>
    <x v="5"/>
    <x v="2"/>
    <x v="33"/>
    <s v="Pharmaceuticals"/>
    <x v="13"/>
    <x v="1"/>
    <x v="1"/>
    <s v="Zhong"/>
    <s v="Huijuan"/>
    <x v="147"/>
    <x v="32"/>
    <n v="1961"/>
    <n v="1"/>
    <n v="1"/>
    <n v="125.08"/>
    <n v="19910000000000"/>
    <n v="77"/>
    <n v="9.4"/>
    <n v="59.2"/>
    <n v="1397715000"/>
  </r>
  <r>
    <n v="299"/>
    <x v="279"/>
    <x v="17"/>
    <x v="1"/>
    <x v="1"/>
    <x v="135"/>
    <s v="Home Depot"/>
    <x v="17"/>
    <x v="1"/>
    <x v="0"/>
    <s v="Blank"/>
    <s v="Arthur"/>
    <x v="148"/>
    <x v="33"/>
    <n v="1942"/>
    <n v="9"/>
    <n v="27"/>
    <n v="117.24"/>
    <n v="21427700000000"/>
    <n v="78.5"/>
    <n v="9.6"/>
    <n v="36.6"/>
    <n v="328239523"/>
  </r>
  <r>
    <n v="299"/>
    <x v="280"/>
    <x v="0"/>
    <x v="1"/>
    <x v="1"/>
    <x v="149"/>
    <s v="Supermarkets"/>
    <x v="0"/>
    <x v="0"/>
    <x v="0"/>
    <s v="Butt"/>
    <s v="Charles"/>
    <x v="148"/>
    <x v="18"/>
    <n v="1938"/>
    <n v="2"/>
    <n v="3"/>
    <n v="117.24"/>
    <n v="21427700000000"/>
    <n v="78.5"/>
    <n v="9.6"/>
    <n v="36.6"/>
    <n v="328239523"/>
  </r>
  <r>
    <n v="299"/>
    <x v="281"/>
    <x v="0"/>
    <x v="5"/>
    <x v="2"/>
    <x v="143"/>
    <s v="Sports apparel"/>
    <x v="0"/>
    <x v="1"/>
    <x v="0"/>
    <s v="Ding"/>
    <s v="Shijia"/>
    <x v="148"/>
    <x v="2"/>
    <n v="1964"/>
    <n v="1"/>
    <n v="1"/>
    <n v="125.08"/>
    <n v="19910000000000"/>
    <n v="77"/>
    <n v="9.4"/>
    <n v="59.2"/>
    <n v="1397715000"/>
  </r>
  <r>
    <n v="299"/>
    <x v="282"/>
    <x v="3"/>
    <x v="1"/>
    <x v="1"/>
    <x v="41"/>
    <s v="Hedge funds"/>
    <x v="3"/>
    <x v="1"/>
    <x v="0"/>
    <s v="Jones"/>
    <s v="Paul Tudor"/>
    <x v="148"/>
    <x v="13"/>
    <n v="1954"/>
    <n v="9"/>
    <n v="28"/>
    <n v="117.24"/>
    <n v="21427700000000"/>
    <n v="78.5"/>
    <n v="9.6"/>
    <n v="36.6"/>
    <n v="328239523"/>
  </r>
  <r>
    <n v="299"/>
    <x v="283"/>
    <x v="3"/>
    <x v="1"/>
    <x v="1"/>
    <x v="5"/>
    <s v="Private equity"/>
    <x v="3"/>
    <x v="1"/>
    <x v="0"/>
    <s v="Kravis"/>
    <s v="Henry"/>
    <x v="148"/>
    <x v="53"/>
    <n v="1944"/>
    <n v="1"/>
    <n v="6"/>
    <n v="117.24"/>
    <n v="21427700000000"/>
    <n v="78.5"/>
    <n v="9.6"/>
    <n v="36.6"/>
    <n v="328239523"/>
  </r>
  <r>
    <n v="299"/>
    <x v="284"/>
    <x v="7"/>
    <x v="21"/>
    <x v="2"/>
    <x v="72"/>
    <s v="Restaurants"/>
    <x v="7"/>
    <x v="1"/>
    <x v="0"/>
    <s v="Zhang"/>
    <s v="Yong"/>
    <x v="148"/>
    <x v="31"/>
    <n v="1970"/>
    <n v="7"/>
    <n v="1"/>
    <n v="114.41"/>
    <n v="372062527489"/>
    <n v="83.1"/>
    <n v="13.1"/>
    <n v="21"/>
    <n v="5703569"/>
  </r>
  <r>
    <n v="305"/>
    <x v="285"/>
    <x v="2"/>
    <x v="1"/>
    <x v="1"/>
    <x v="150"/>
    <s v="Software"/>
    <x v="2"/>
    <x v="1"/>
    <x v="0"/>
    <s v="Goodnight"/>
    <s v="James"/>
    <x v="149"/>
    <x v="33"/>
    <n v="1943"/>
    <n v="1"/>
    <n v="6"/>
    <n v="117.24"/>
    <n v="21427700000000"/>
    <n v="78.5"/>
    <n v="9.6"/>
    <n v="36.6"/>
    <n v="328239523"/>
  </r>
  <r>
    <n v="305"/>
    <x v="286"/>
    <x v="10"/>
    <x v="12"/>
    <x v="0"/>
    <x v="31"/>
    <s v="Petrochemicals"/>
    <x v="10"/>
    <x v="0"/>
    <x v="0"/>
    <s v="Lohia"/>
    <s v="Sri Prakash"/>
    <x v="149"/>
    <x v="34"/>
    <n v="1952"/>
    <n v="8"/>
    <n v="11"/>
    <n v="119.62"/>
    <n v="2827113184696"/>
    <n v="81.3"/>
    <n v="25.5"/>
    <n v="30.6"/>
    <n v="66834405"/>
  </r>
  <r>
    <n v="305"/>
    <x v="287"/>
    <x v="0"/>
    <x v="5"/>
    <x v="2"/>
    <x v="110"/>
    <s v="Textiles, apparel"/>
    <x v="0"/>
    <x v="1"/>
    <x v="0"/>
    <s v="Ma"/>
    <s v="Jianrong"/>
    <x v="149"/>
    <x v="2"/>
    <n v="1964"/>
    <n v="1"/>
    <n v="1"/>
    <n v="125.08"/>
    <n v="19910000000000"/>
    <n v="77"/>
    <n v="9.4"/>
    <n v="59.2"/>
    <n v="1397715000"/>
  </r>
  <r>
    <n v="305"/>
    <x v="288"/>
    <x v="15"/>
    <x v="21"/>
    <x v="2"/>
    <x v="72"/>
    <s v="Real estate"/>
    <x v="15"/>
    <x v="0"/>
    <x v="0"/>
    <s v="Ng"/>
    <s v="Robert"/>
    <x v="149"/>
    <x v="50"/>
    <n v="1952"/>
    <n v="1"/>
    <n v="1"/>
    <n v="114.41"/>
    <n v="372062527489"/>
    <n v="83.1"/>
    <n v="13.1"/>
    <n v="21"/>
    <n v="5703569"/>
  </r>
  <r>
    <n v="305"/>
    <x v="289"/>
    <x v="10"/>
    <x v="1"/>
    <x v="1"/>
    <x v="151"/>
    <s v="Manufacturing, investments"/>
    <x v="10"/>
    <x v="1"/>
    <x v="0"/>
    <s v="Rales"/>
    <s v="Steven"/>
    <x v="149"/>
    <x v="24"/>
    <n v="1951"/>
    <n v="3"/>
    <n v="31"/>
    <n v="117.24"/>
    <n v="21427700000000"/>
    <n v="78.5"/>
    <n v="9.6"/>
    <n v="36.6"/>
    <n v="328239523"/>
  </r>
  <r>
    <n v="305"/>
    <x v="290"/>
    <x v="16"/>
    <x v="32"/>
    <x v="0"/>
    <x v="152"/>
    <s v="Construction, investments"/>
    <x v="16"/>
    <x v="0"/>
    <x v="0"/>
    <s v="Sawiris"/>
    <s v="Nassef"/>
    <x v="149"/>
    <x v="32"/>
    <n v="1961"/>
    <n v="1"/>
    <n v="19"/>
    <n v="288.57"/>
    <n v="303175127598"/>
    <n v="71.8"/>
    <n v="12.5"/>
    <n v="44.4"/>
    <n v="100388073"/>
  </r>
  <r>
    <n v="305"/>
    <x v="291"/>
    <x v="7"/>
    <x v="1"/>
    <x v="1"/>
    <x v="153"/>
    <s v="Agriculture"/>
    <x v="7"/>
    <x v="1"/>
    <x v="0"/>
    <s v="Stine"/>
    <s v="Harry"/>
    <x v="149"/>
    <x v="6"/>
    <n v="1941"/>
    <n v="11"/>
    <n v="30"/>
    <n v="117.24"/>
    <n v="21427700000000"/>
    <n v="78.5"/>
    <n v="9.6"/>
    <n v="36.6"/>
    <n v="328239523"/>
  </r>
  <r>
    <n v="312"/>
    <x v="292"/>
    <x v="10"/>
    <x v="3"/>
    <x v="2"/>
    <x v="154"/>
    <s v="Cement"/>
    <x v="10"/>
    <x v="0"/>
    <x v="0"/>
    <s v="Bangur"/>
    <s v="Benu Gopal"/>
    <x v="150"/>
    <x v="54"/>
    <n v="1931"/>
    <n v="6"/>
    <n v="1"/>
    <n v="180.44"/>
    <n v="2611000000000"/>
    <n v="69.400000000000006"/>
    <n v="11.2"/>
    <n v="49.7"/>
    <n v="1366417754"/>
  </r>
  <r>
    <n v="312"/>
    <x v="293"/>
    <x v="11"/>
    <x v="16"/>
    <x v="0"/>
    <x v="46"/>
    <s v="Mining, metals, machinery"/>
    <x v="11"/>
    <x v="1"/>
    <x v="0"/>
    <s v="Makhmudov"/>
    <s v="Iskander"/>
    <x v="150"/>
    <x v="2"/>
    <n v="1963"/>
    <n v="12"/>
    <n v="5"/>
    <n v="180.75"/>
    <n v="1699876578871"/>
    <n v="72.7"/>
    <n v="11.4"/>
    <n v="46.2"/>
    <n v="144373535"/>
  </r>
  <r>
    <n v="312"/>
    <x v="294"/>
    <x v="0"/>
    <x v="33"/>
    <x v="0"/>
    <x v="155"/>
    <s v="Fashion retail"/>
    <x v="0"/>
    <x v="0"/>
    <x v="0"/>
    <s v="Povlsen"/>
    <s v="Anders Holch"/>
    <x v="150"/>
    <x v="10"/>
    <n v="1972"/>
    <n v="11"/>
    <n v="4"/>
    <n v="110.35"/>
    <n v="348078018464"/>
    <n v="81"/>
    <n v="32.4"/>
    <n v="23.8"/>
    <n v="5818553"/>
  </r>
  <r>
    <n v="312"/>
    <x v="295"/>
    <x v="8"/>
    <x v="30"/>
    <x v="2"/>
    <x v="133"/>
    <s v="Ports"/>
    <x v="8"/>
    <x v="0"/>
    <x v="0"/>
    <s v="Razon Jr."/>
    <s v="Enrique"/>
    <x v="150"/>
    <x v="49"/>
    <n v="1960"/>
    <n v="3"/>
    <n v="3"/>
    <n v="129.61000000000001"/>
    <n v="376795508680"/>
    <n v="71.099999999999994"/>
    <n v="14"/>
    <n v="43.1"/>
    <n v="108116615"/>
  </r>
  <r>
    <n v="312"/>
    <x v="296"/>
    <x v="2"/>
    <x v="5"/>
    <x v="2"/>
    <x v="25"/>
    <s v="Electronics components"/>
    <x v="2"/>
    <x v="1"/>
    <x v="1"/>
    <s v="Wang"/>
    <s v="Laichun"/>
    <x v="150"/>
    <x v="40"/>
    <n v="1967"/>
    <n v="6"/>
    <n v="3"/>
    <n v="125.08"/>
    <n v="19910000000000"/>
    <n v="77"/>
    <n v="9.4"/>
    <n v="59.2"/>
    <n v="1397715000"/>
  </r>
  <r>
    <n v="317"/>
    <x v="297"/>
    <x v="3"/>
    <x v="1"/>
    <x v="1"/>
    <x v="156"/>
    <s v="Trading, investments"/>
    <x v="3"/>
    <x v="1"/>
    <x v="0"/>
    <s v="Dantchik"/>
    <s v="Arthur"/>
    <x v="151"/>
    <x v="8"/>
    <n v="1957"/>
    <n v="11"/>
    <n v="25"/>
    <n v="117.24"/>
    <n v="21427700000000"/>
    <n v="78.5"/>
    <n v="9.6"/>
    <n v="36.6"/>
    <n v="328239523"/>
  </r>
  <r>
    <n v="317"/>
    <x v="298"/>
    <x v="15"/>
    <x v="1"/>
    <x v="1"/>
    <x v="41"/>
    <s v="Real estate, investments"/>
    <x v="15"/>
    <x v="1"/>
    <x v="0"/>
    <s v="Greene"/>
    <s v="Jeff"/>
    <x v="151"/>
    <x v="13"/>
    <n v="1954"/>
    <n v="12"/>
    <n v="10"/>
    <n v="117.24"/>
    <n v="21427700000000"/>
    <n v="78.5"/>
    <n v="9.6"/>
    <n v="36.6"/>
    <n v="328239523"/>
  </r>
  <r>
    <n v="317"/>
    <x v="299"/>
    <x v="3"/>
    <x v="1"/>
    <x v="1"/>
    <x v="157"/>
    <s v="Auto loans"/>
    <x v="3"/>
    <x v="1"/>
    <x v="0"/>
    <s v="Hankey"/>
    <s v="Don"/>
    <x v="151"/>
    <x v="53"/>
    <n v="1943"/>
    <n v="6"/>
    <n v="13"/>
    <n v="117.24"/>
    <n v="21427700000000"/>
    <n v="78.5"/>
    <n v="9.6"/>
    <n v="36.6"/>
    <n v="328239523"/>
  </r>
  <r>
    <n v="317"/>
    <x v="300"/>
    <x v="12"/>
    <x v="1"/>
    <x v="1"/>
    <x v="98"/>
    <s v="Pipelines"/>
    <x v="12"/>
    <x v="1"/>
    <x v="0"/>
    <s v="Kinder"/>
    <s v="Richard"/>
    <x v="151"/>
    <x v="3"/>
    <n v="1944"/>
    <n v="10"/>
    <n v="19"/>
    <n v="117.24"/>
    <n v="21427700000000"/>
    <n v="78.5"/>
    <n v="9.6"/>
    <n v="36.6"/>
    <n v="328239523"/>
  </r>
  <r>
    <n v="317"/>
    <x v="301"/>
    <x v="3"/>
    <x v="15"/>
    <x v="0"/>
    <x v="84"/>
    <s v="Fintech"/>
    <x v="3"/>
    <x v="1"/>
    <x v="0"/>
    <s v="Pousaz"/>
    <s v="Guillaume"/>
    <x v="151"/>
    <x v="47"/>
    <n v="1981"/>
    <n v="8"/>
    <n v="15"/>
    <n v="114.52"/>
    <n v="421142267938"/>
    <n v="77.8"/>
    <n v="0.1"/>
    <n v="15.9"/>
    <n v="9770529"/>
  </r>
  <r>
    <n v="317"/>
    <x v="302"/>
    <x v="0"/>
    <x v="11"/>
    <x v="2"/>
    <x v="30"/>
    <s v="Personal care goods"/>
    <x v="0"/>
    <x v="0"/>
    <x v="0"/>
    <s v="Takahara"/>
    <s v="Takahisa"/>
    <x v="151"/>
    <x v="36"/>
    <n v="1961"/>
    <n v="7"/>
    <n v="12"/>
    <n v="105.48"/>
    <n v="5081769542380"/>
    <n v="84.2"/>
    <n v="11.9"/>
    <n v="46.7"/>
    <n v="126226568"/>
  </r>
  <r>
    <n v="317"/>
    <x v="303"/>
    <x v="7"/>
    <x v="5"/>
    <x v="2"/>
    <x v="12"/>
    <s v="Beverages"/>
    <x v="7"/>
    <x v="1"/>
    <x v="0"/>
    <s v="Zong"/>
    <s v="Qinghou"/>
    <x v="151"/>
    <x v="21"/>
    <n v="1945"/>
    <n v="10"/>
    <n v="1"/>
    <n v="125.08"/>
    <n v="19910000000000"/>
    <n v="77"/>
    <n v="9.4"/>
    <n v="59.2"/>
    <n v="1397715000"/>
  </r>
  <r>
    <n v="325"/>
    <x v="304"/>
    <x v="2"/>
    <x v="1"/>
    <x v="1"/>
    <x v="158"/>
    <s v="Healthcare software"/>
    <x v="2"/>
    <x v="1"/>
    <x v="1"/>
    <s v="Faulkner"/>
    <s v="Judy"/>
    <x v="152"/>
    <x v="53"/>
    <n v="1943"/>
    <n v="8"/>
    <n v="1"/>
    <n v="117.24"/>
    <n v="21427700000000"/>
    <n v="78.5"/>
    <n v="9.6"/>
    <n v="36.6"/>
    <n v="328239523"/>
  </r>
  <r>
    <n v="325"/>
    <x v="305"/>
    <x v="9"/>
    <x v="10"/>
    <x v="0"/>
    <x v="145"/>
    <s v="Gambling"/>
    <x v="9"/>
    <x v="1"/>
    <x v="0"/>
    <s v="Graf"/>
    <s v="Johann"/>
    <x v="152"/>
    <x v="29"/>
    <n v="1947"/>
    <n v="1"/>
    <n v="3"/>
    <n v="118.06"/>
    <n v="446314739528"/>
    <n v="81.599999999999994"/>
    <n v="25.4"/>
    <n v="51.4"/>
    <n v="8877067"/>
  </r>
  <r>
    <n v="325"/>
    <x v="306"/>
    <x v="14"/>
    <x v="1"/>
    <x v="1"/>
    <x v="159"/>
    <s v="Self storage"/>
    <x v="14"/>
    <x v="0"/>
    <x v="1"/>
    <s v="Gustavson"/>
    <s v="Tamara"/>
    <x v="152"/>
    <x v="36"/>
    <n v="1961"/>
    <n v="11"/>
    <n v="16"/>
    <n v="117.24"/>
    <n v="21427700000000"/>
    <n v="78.5"/>
    <n v="9.6"/>
    <n v="36.6"/>
    <n v="328239523"/>
  </r>
  <r>
    <n v="325"/>
    <x v="307"/>
    <x v="10"/>
    <x v="5"/>
    <x v="2"/>
    <x v="74"/>
    <s v="Construction equipment"/>
    <x v="10"/>
    <x v="1"/>
    <x v="0"/>
    <s v="Liang"/>
    <s v="Wengen"/>
    <x v="152"/>
    <x v="35"/>
    <n v="1956"/>
    <n v="12"/>
    <n v="14"/>
    <n v="125.08"/>
    <n v="19910000000000"/>
    <n v="77"/>
    <n v="9.4"/>
    <n v="59.2"/>
    <n v="1397715000"/>
  </r>
  <r>
    <n v="325"/>
    <x v="308"/>
    <x v="13"/>
    <x v="8"/>
    <x v="0"/>
    <x v="160"/>
    <s v="Health care"/>
    <x v="13"/>
    <x v="0"/>
    <x v="0"/>
    <s v="Paulsen"/>
    <s v="Frederik"/>
    <x v="152"/>
    <x v="24"/>
    <n v="1950"/>
    <n v="10"/>
    <n v="30"/>
    <n v="99.55"/>
    <n v="703082435360"/>
    <n v="83.6"/>
    <n v="10.1"/>
    <n v="28.8"/>
    <n v="8574832"/>
  </r>
  <r>
    <n v="325"/>
    <x v="309"/>
    <x v="3"/>
    <x v="21"/>
    <x v="2"/>
    <x v="72"/>
    <s v="Banking"/>
    <x v="3"/>
    <x v="0"/>
    <x v="0"/>
    <s v="Wee"/>
    <s v="Cho Yaw"/>
    <x v="152"/>
    <x v="51"/>
    <n v="1929"/>
    <n v="1"/>
    <n v="10"/>
    <n v="114.41"/>
    <n v="372062527489"/>
    <n v="83.1"/>
    <n v="13.1"/>
    <n v="21"/>
    <n v="5703569"/>
  </r>
  <r>
    <n v="325"/>
    <x v="310"/>
    <x v="10"/>
    <x v="5"/>
    <x v="2"/>
    <x v="110"/>
    <s v="Electronics"/>
    <x v="10"/>
    <x v="1"/>
    <x v="0"/>
    <s v="Zhang"/>
    <s v="Hejun"/>
    <x v="152"/>
    <x v="50"/>
    <n v="1952"/>
    <n v="1"/>
    <n v="1"/>
    <n v="125.08"/>
    <n v="19910000000000"/>
    <n v="77"/>
    <n v="9.4"/>
    <n v="59.2"/>
    <n v="1397715000"/>
  </r>
  <r>
    <n v="332"/>
    <x v="311"/>
    <x v="2"/>
    <x v="1"/>
    <x v="1"/>
    <x v="116"/>
    <s v="Business software"/>
    <x v="2"/>
    <x v="1"/>
    <x v="0"/>
    <s v="Benioff"/>
    <s v="Marc"/>
    <x v="153"/>
    <x v="17"/>
    <n v="1964"/>
    <n v="9"/>
    <n v="25"/>
    <n v="117.24"/>
    <n v="21427700000000"/>
    <n v="78.5"/>
    <n v="9.6"/>
    <n v="36.6"/>
    <n v="328239523"/>
  </r>
  <r>
    <n v="332"/>
    <x v="312"/>
    <x v="4"/>
    <x v="12"/>
    <x v="0"/>
    <x v="31"/>
    <s v="Online games"/>
    <x v="4"/>
    <x v="1"/>
    <x v="0"/>
    <s v="Bukhman"/>
    <s v="Dmitri"/>
    <x v="153"/>
    <x v="57"/>
    <n v="1985"/>
    <n v="5"/>
    <n v="27"/>
    <n v="119.62"/>
    <n v="2827113184696"/>
    <n v="81.3"/>
    <n v="25.5"/>
    <n v="30.6"/>
    <n v="66834405"/>
  </r>
  <r>
    <n v="332"/>
    <x v="313"/>
    <x v="4"/>
    <x v="12"/>
    <x v="0"/>
    <x v="31"/>
    <s v="Online games"/>
    <x v="4"/>
    <x v="1"/>
    <x v="0"/>
    <s v="Bukhman"/>
    <s v="Igor"/>
    <x v="153"/>
    <x v="47"/>
    <n v="1982"/>
    <n v="3"/>
    <n v="29"/>
    <n v="119.62"/>
    <n v="2827113184696"/>
    <n v="81.3"/>
    <n v="25.5"/>
    <n v="30.6"/>
    <n v="66834405"/>
  </r>
  <r>
    <n v="332"/>
    <x v="314"/>
    <x v="2"/>
    <x v="1"/>
    <x v="1"/>
    <x v="161"/>
    <s v="Mapping software"/>
    <x v="2"/>
    <x v="1"/>
    <x v="0"/>
    <s v="Dangermond"/>
    <s v="Jack"/>
    <x v="153"/>
    <x v="21"/>
    <n v="1945"/>
    <n v="7"/>
    <n v="23"/>
    <n v="117.24"/>
    <n v="21427700000000"/>
    <n v="78.5"/>
    <n v="9.6"/>
    <n v="36.6"/>
    <n v="328239523"/>
  </r>
  <r>
    <n v="332"/>
    <x v="315"/>
    <x v="10"/>
    <x v="3"/>
    <x v="2"/>
    <x v="7"/>
    <s v="Paints"/>
    <x v="10"/>
    <x v="0"/>
    <x v="0"/>
    <s v="Dani"/>
    <s v="Ashwin"/>
    <x v="153"/>
    <x v="33"/>
    <n v="1942"/>
    <n v="10"/>
    <n v="24"/>
    <n v="180.44"/>
    <n v="2611000000000"/>
    <n v="69.400000000000006"/>
    <n v="11.2"/>
    <n v="49.7"/>
    <n v="1366417754"/>
  </r>
  <r>
    <n v="332"/>
    <x v="316"/>
    <x v="0"/>
    <x v="1"/>
    <x v="1"/>
    <x v="5"/>
    <s v="Apparel"/>
    <x v="0"/>
    <x v="1"/>
    <x v="0"/>
    <s v="Lauren"/>
    <s v="Ralph"/>
    <x v="153"/>
    <x v="7"/>
    <n v="1939"/>
    <n v="10"/>
    <n v="14"/>
    <n v="117.24"/>
    <n v="21427700000000"/>
    <n v="78.5"/>
    <n v="9.6"/>
    <n v="36.6"/>
    <n v="328239523"/>
  </r>
  <r>
    <n v="332"/>
    <x v="317"/>
    <x v="6"/>
    <x v="3"/>
    <x v="2"/>
    <x v="7"/>
    <s v="Diversified"/>
    <x v="6"/>
    <x v="0"/>
    <x v="1"/>
    <s v="Mistry"/>
    <s v="Rohiqa Cyrus"/>
    <x v="153"/>
    <x v="40"/>
    <n v="1967"/>
    <n v="6"/>
    <n v="6"/>
    <n v="180.44"/>
    <n v="2611000000000"/>
    <n v="69.400000000000006"/>
    <n v="11.2"/>
    <n v="49.7"/>
    <n v="1366417754"/>
  </r>
  <r>
    <n v="332"/>
    <x v="318"/>
    <x v="6"/>
    <x v="3"/>
    <x v="2"/>
    <x v="7"/>
    <s v="Diversified"/>
    <x v="6"/>
    <x v="0"/>
    <x v="0"/>
    <s v="Mistry"/>
    <s v="Shapoor"/>
    <x v="153"/>
    <x v="17"/>
    <n v="1964"/>
    <n v="9"/>
    <n v="6"/>
    <n v="180.44"/>
    <n v="2611000000000"/>
    <n v="69.400000000000006"/>
    <n v="11.2"/>
    <n v="49.7"/>
    <n v="1366417754"/>
  </r>
  <r>
    <n v="332"/>
    <x v="319"/>
    <x v="7"/>
    <x v="1"/>
    <x v="1"/>
    <x v="162"/>
    <s v="Food distribution"/>
    <x v="7"/>
    <x v="1"/>
    <x v="0"/>
    <s v="Reyes"/>
    <s v="J. Christopher"/>
    <x v="153"/>
    <x v="9"/>
    <n v="1953"/>
    <n v="12"/>
    <n v="29"/>
    <n v="117.24"/>
    <n v="21427700000000"/>
    <n v="78.5"/>
    <n v="9.6"/>
    <n v="36.6"/>
    <n v="328239523"/>
  </r>
  <r>
    <n v="332"/>
    <x v="320"/>
    <x v="7"/>
    <x v="1"/>
    <x v="1"/>
    <x v="41"/>
    <s v="Food distribution"/>
    <x v="7"/>
    <x v="1"/>
    <x v="0"/>
    <s v="Reyes"/>
    <s v="Jude"/>
    <x v="153"/>
    <x v="5"/>
    <n v="1955"/>
    <n v="9"/>
    <n v="16"/>
    <n v="117.24"/>
    <n v="21427700000000"/>
    <n v="78.5"/>
    <n v="9.6"/>
    <n v="36.6"/>
    <n v="328239523"/>
  </r>
  <r>
    <n v="332"/>
    <x v="321"/>
    <x v="7"/>
    <x v="1"/>
    <x v="1"/>
    <x v="163"/>
    <s v="Beverages"/>
    <x v="7"/>
    <x v="1"/>
    <x v="0"/>
    <s v="Vultaggio"/>
    <s v="Don"/>
    <x v="153"/>
    <x v="50"/>
    <n v="1952"/>
    <n v="2"/>
    <n v="26"/>
    <n v="117.24"/>
    <n v="21427700000000"/>
    <n v="78.5"/>
    <n v="9.6"/>
    <n v="36.6"/>
    <n v="328239523"/>
  </r>
  <r>
    <n v="344"/>
    <x v="322"/>
    <x v="6"/>
    <x v="1"/>
    <x v="1"/>
    <x v="111"/>
    <s v="Homebuilding, insurance"/>
    <x v="6"/>
    <x v="0"/>
    <x v="1"/>
    <s v="Broad"/>
    <s v="Edythe"/>
    <x v="154"/>
    <x v="11"/>
    <n v="1936"/>
    <n v="1"/>
    <n v="1"/>
    <n v="117.24"/>
    <n v="21427700000000"/>
    <n v="78.5"/>
    <n v="9.6"/>
    <n v="36.6"/>
    <n v="328239523"/>
  </r>
  <r>
    <n v="344"/>
    <x v="323"/>
    <x v="7"/>
    <x v="1"/>
    <x v="1"/>
    <x v="164"/>
    <s v="Cargill"/>
    <x v="7"/>
    <x v="0"/>
    <x v="1"/>
    <s v="Keinath"/>
    <s v="Pauline MacMillan"/>
    <x v="154"/>
    <x v="56"/>
    <n v="1934"/>
    <n v="1"/>
    <n v="1"/>
    <n v="117.24"/>
    <n v="21427700000000"/>
    <n v="78.5"/>
    <n v="9.6"/>
    <n v="36.6"/>
    <n v="328239523"/>
  </r>
  <r>
    <n v="344"/>
    <x v="324"/>
    <x v="3"/>
    <x v="1"/>
    <x v="1"/>
    <x v="5"/>
    <s v="Hedge fund"/>
    <x v="3"/>
    <x v="1"/>
    <x v="0"/>
    <s v="Laffont"/>
    <s v="Philippe"/>
    <x v="154"/>
    <x v="40"/>
    <n v="1967"/>
    <n v="9"/>
    <n v="16"/>
    <n v="117.24"/>
    <n v="21427700000000"/>
    <n v="78.5"/>
    <n v="9.6"/>
    <n v="36.6"/>
    <n v="328239523"/>
  </r>
  <r>
    <n v="344"/>
    <x v="325"/>
    <x v="2"/>
    <x v="5"/>
    <x v="2"/>
    <x v="165"/>
    <s v="Lithium batteries"/>
    <x v="2"/>
    <x v="1"/>
    <x v="0"/>
    <s v="Liu"/>
    <s v="Jincheng"/>
    <x v="154"/>
    <x v="17"/>
    <n v="1964"/>
    <n v="9"/>
    <n v="22"/>
    <n v="125.08"/>
    <n v="19910000000000"/>
    <n v="77"/>
    <n v="9.4"/>
    <n v="59.2"/>
    <n v="1397715000"/>
  </r>
  <r>
    <n v="344"/>
    <x v="326"/>
    <x v="15"/>
    <x v="1"/>
    <x v="1"/>
    <x v="166"/>
    <s v="Real estate"/>
    <x v="15"/>
    <x v="1"/>
    <x v="0"/>
    <s v="Olenicoff"/>
    <s v="Igor"/>
    <x v="154"/>
    <x v="33"/>
    <n v="1942"/>
    <n v="9"/>
    <n v="20"/>
    <n v="117.24"/>
    <n v="21427700000000"/>
    <n v="78.5"/>
    <n v="9.6"/>
    <n v="36.6"/>
    <n v="328239523"/>
  </r>
  <r>
    <n v="344"/>
    <x v="327"/>
    <x v="0"/>
    <x v="4"/>
    <x v="0"/>
    <x v="10"/>
    <s v="Zara"/>
    <x v="0"/>
    <x v="0"/>
    <x v="1"/>
    <s v="Ortega Mera"/>
    <s v="Sandra"/>
    <x v="154"/>
    <x v="22"/>
    <n v="1968"/>
    <n v="7"/>
    <n v="9"/>
    <n v="110.96"/>
    <n v="1394116310769"/>
    <n v="83.3"/>
    <n v="14.2"/>
    <n v="47"/>
    <n v="47076781"/>
  </r>
  <r>
    <n v="344"/>
    <x v="328"/>
    <x v="13"/>
    <x v="1"/>
    <x v="1"/>
    <x v="167"/>
    <s v="Medical equipment"/>
    <x v="13"/>
    <x v="0"/>
    <x v="1"/>
    <s v="Stryker"/>
    <s v="Ronda"/>
    <x v="154"/>
    <x v="13"/>
    <n v="1954"/>
    <n v="5"/>
    <n v="1"/>
    <n v="117.24"/>
    <n v="21427700000000"/>
    <n v="78.5"/>
    <n v="9.6"/>
    <n v="36.6"/>
    <n v="328239523"/>
  </r>
  <r>
    <n v="352"/>
    <x v="329"/>
    <x v="12"/>
    <x v="1"/>
    <x v="1"/>
    <x v="98"/>
    <s v="Pipelines"/>
    <x v="12"/>
    <x v="0"/>
    <x v="1"/>
    <s v="Avara"/>
    <s v="Dannine"/>
    <x v="155"/>
    <x v="2"/>
    <n v="1964"/>
    <n v="3"/>
    <n v="9"/>
    <n v="117.24"/>
    <n v="21427700000000"/>
    <n v="78.5"/>
    <n v="9.6"/>
    <n v="36.6"/>
    <n v="328239523"/>
  </r>
  <r>
    <n v="352"/>
    <x v="330"/>
    <x v="6"/>
    <x v="24"/>
    <x v="0"/>
    <x v="91"/>
    <s v="Media"/>
    <x v="6"/>
    <x v="1"/>
    <x v="0"/>
    <s v="Berlusconi"/>
    <s v="Silvio"/>
    <x v="155"/>
    <x v="20"/>
    <n v="1936"/>
    <n v="9"/>
    <n v="29"/>
    <n v="110.62"/>
    <n v="2001244392042"/>
    <n v="82.9"/>
    <n v="24.3"/>
    <n v="59.1"/>
    <n v="60297396"/>
  </r>
  <r>
    <n v="352"/>
    <x v="331"/>
    <x v="9"/>
    <x v="12"/>
    <x v="0"/>
    <x v="168"/>
    <s v="Online gambling"/>
    <x v="9"/>
    <x v="1"/>
    <x v="1"/>
    <s v="Coates"/>
    <s v="Denise"/>
    <x v="155"/>
    <x v="40"/>
    <n v="1967"/>
    <n v="9"/>
    <n v="26"/>
    <n v="119.62"/>
    <n v="2827113184696"/>
    <n v="81.3"/>
    <n v="25.5"/>
    <n v="30.6"/>
    <n v="66834405"/>
  </r>
  <r>
    <n v="352"/>
    <x v="332"/>
    <x v="12"/>
    <x v="1"/>
    <x v="1"/>
    <x v="98"/>
    <s v="Pipelines"/>
    <x v="12"/>
    <x v="0"/>
    <x v="0"/>
    <s v="Duncan"/>
    <s v="Scott"/>
    <x v="155"/>
    <x v="58"/>
    <n v="1982"/>
    <n v="11"/>
    <n v="1"/>
    <n v="117.24"/>
    <n v="21427700000000"/>
    <n v="78.5"/>
    <n v="9.6"/>
    <n v="36.6"/>
    <n v="328239523"/>
  </r>
  <r>
    <n v="352"/>
    <x v="333"/>
    <x v="12"/>
    <x v="1"/>
    <x v="1"/>
    <x v="98"/>
    <s v="Pipelines"/>
    <x v="12"/>
    <x v="0"/>
    <x v="1"/>
    <s v="Frantz"/>
    <s v="Milane"/>
    <x v="155"/>
    <x v="48"/>
    <n v="1969"/>
    <n v="8"/>
    <n v="12"/>
    <n v="117.24"/>
    <n v="21427700000000"/>
    <n v="78.5"/>
    <n v="9.6"/>
    <n v="36.6"/>
    <n v="328239523"/>
  </r>
  <r>
    <n v="352"/>
    <x v="334"/>
    <x v="3"/>
    <x v="1"/>
    <x v="1"/>
    <x v="169"/>
    <s v="Fidelity"/>
    <x v="3"/>
    <x v="0"/>
    <x v="0"/>
    <s v="Johnson"/>
    <s v="Edward"/>
    <x v="155"/>
    <x v="17"/>
    <n v="1964"/>
    <n v="11"/>
    <n v="18"/>
    <n v="117.24"/>
    <n v="21427700000000"/>
    <n v="78.5"/>
    <n v="9.6"/>
    <n v="36.6"/>
    <n v="328239523"/>
  </r>
  <r>
    <n v="352"/>
    <x v="335"/>
    <x v="3"/>
    <x v="1"/>
    <x v="1"/>
    <x v="11"/>
    <s v="Tech investments"/>
    <x v="3"/>
    <x v="1"/>
    <x v="0"/>
    <s v="Milner"/>
    <s v="Yuri"/>
    <x v="155"/>
    <x v="36"/>
    <n v="1961"/>
    <n v="11"/>
    <n v="11"/>
    <n v="117.24"/>
    <n v="21427700000000"/>
    <n v="78.5"/>
    <n v="9.6"/>
    <n v="36.6"/>
    <n v="328239523"/>
  </r>
  <r>
    <n v="352"/>
    <x v="336"/>
    <x v="2"/>
    <x v="1"/>
    <x v="1"/>
    <x v="120"/>
    <s v="Intel"/>
    <x v="2"/>
    <x v="1"/>
    <x v="0"/>
    <s v="Moore"/>
    <s v="Gordon"/>
    <x v="155"/>
    <x v="51"/>
    <n v="1929"/>
    <n v="1"/>
    <n v="3"/>
    <n v="117.24"/>
    <n v="21427700000000"/>
    <n v="78.5"/>
    <n v="9.6"/>
    <n v="36.6"/>
    <n v="328239523"/>
  </r>
  <r>
    <n v="352"/>
    <x v="337"/>
    <x v="3"/>
    <x v="1"/>
    <x v="1"/>
    <x v="170"/>
    <s v="Hedge funds"/>
    <x v="3"/>
    <x v="1"/>
    <x v="0"/>
    <s v="Overdeck"/>
    <s v="John"/>
    <x v="155"/>
    <x v="48"/>
    <n v="1969"/>
    <n v="12"/>
    <n v="21"/>
    <n v="117.24"/>
    <n v="21427700000000"/>
    <n v="78.5"/>
    <n v="9.6"/>
    <n v="36.6"/>
    <n v="328239523"/>
  </r>
  <r>
    <n v="352"/>
    <x v="338"/>
    <x v="3"/>
    <x v="1"/>
    <x v="1"/>
    <x v="171"/>
    <s v="Hedge funds"/>
    <x v="3"/>
    <x v="1"/>
    <x v="0"/>
    <s v="Siegel"/>
    <s v="David"/>
    <x v="155"/>
    <x v="36"/>
    <n v="1961"/>
    <n v="7"/>
    <n v="15"/>
    <n v="117.24"/>
    <n v="21427700000000"/>
    <n v="78.5"/>
    <n v="9.6"/>
    <n v="36.6"/>
    <n v="328239523"/>
  </r>
  <r>
    <n v="352"/>
    <x v="339"/>
    <x v="6"/>
    <x v="16"/>
    <x v="0"/>
    <x v="46"/>
    <s v="Metals, investments"/>
    <x v="6"/>
    <x v="1"/>
    <x v="0"/>
    <s v="Vekselberg"/>
    <s v="Viktor"/>
    <x v="155"/>
    <x v="8"/>
    <n v="1957"/>
    <n v="4"/>
    <n v="14"/>
    <n v="180.75"/>
    <n v="1699876578871"/>
    <n v="72.7"/>
    <n v="11.4"/>
    <n v="46.2"/>
    <n v="144373535"/>
  </r>
  <r>
    <n v="352"/>
    <x v="340"/>
    <x v="2"/>
    <x v="5"/>
    <x v="2"/>
    <x v="25"/>
    <s v="Electronics components"/>
    <x v="2"/>
    <x v="1"/>
    <x v="0"/>
    <s v="Wang"/>
    <s v="Laisheng"/>
    <x v="155"/>
    <x v="17"/>
    <n v="1964"/>
    <n v="12"/>
    <n v="14"/>
    <n v="125.08"/>
    <n v="19910000000000"/>
    <n v="77"/>
    <n v="9.4"/>
    <n v="59.2"/>
    <n v="1397715000"/>
  </r>
  <r>
    <n v="352"/>
    <x v="341"/>
    <x v="12"/>
    <x v="1"/>
    <x v="1"/>
    <x v="98"/>
    <s v="Pipelines"/>
    <x v="12"/>
    <x v="0"/>
    <x v="1"/>
    <s v="Williams"/>
    <s v="Randa Duncan"/>
    <x v="155"/>
    <x v="36"/>
    <n v="1961"/>
    <n v="8"/>
    <n v="28"/>
    <n v="117.24"/>
    <n v="21427700000000"/>
    <n v="78.5"/>
    <n v="9.6"/>
    <n v="36.6"/>
    <n v="328239523"/>
  </r>
  <r>
    <n v="365"/>
    <x v="342"/>
    <x v="3"/>
    <x v="1"/>
    <x v="1"/>
    <x v="76"/>
    <s v="Money management"/>
    <x v="3"/>
    <x v="1"/>
    <x v="0"/>
    <s v="Fisher"/>
    <s v="Ken"/>
    <x v="156"/>
    <x v="24"/>
    <n v="1950"/>
    <n v="11"/>
    <n v="29"/>
    <n v="117.24"/>
    <n v="21427700000000"/>
    <n v="78.5"/>
    <n v="9.6"/>
    <n v="36.6"/>
    <n v="328239523"/>
  </r>
  <r>
    <n v="365"/>
    <x v="343"/>
    <x v="3"/>
    <x v="12"/>
    <x v="0"/>
    <x v="31"/>
    <s v="Hedge funds"/>
    <x v="3"/>
    <x v="1"/>
    <x v="0"/>
    <s v="Hohn"/>
    <s v="Christopher"/>
    <x v="156"/>
    <x v="30"/>
    <n v="1966"/>
    <n v="10"/>
    <n v="27"/>
    <n v="119.62"/>
    <n v="2827113184696"/>
    <n v="81.3"/>
    <n v="25.5"/>
    <n v="30.6"/>
    <n v="66834405"/>
  </r>
  <r>
    <n v="365"/>
    <x v="344"/>
    <x v="10"/>
    <x v="33"/>
    <x v="0"/>
    <x v="172"/>
    <s v="Lego"/>
    <x v="10"/>
    <x v="0"/>
    <x v="0"/>
    <s v="Kristiansen"/>
    <s v="Kjeld Kirk"/>
    <x v="156"/>
    <x v="41"/>
    <n v="1947"/>
    <n v="12"/>
    <n v="27"/>
    <n v="110.35"/>
    <n v="348078018464"/>
    <n v="81"/>
    <n v="32.4"/>
    <n v="23.8"/>
    <n v="5818553"/>
  </r>
  <r>
    <n v="365"/>
    <x v="345"/>
    <x v="10"/>
    <x v="33"/>
    <x v="0"/>
    <x v="172"/>
    <s v="Lego"/>
    <x v="10"/>
    <x v="0"/>
    <x v="1"/>
    <s v="Kristiansen"/>
    <s v="Sofie Kirk"/>
    <x v="156"/>
    <x v="44"/>
    <n v="1976"/>
    <n v="1"/>
    <n v="1"/>
    <n v="110.35"/>
    <n v="348078018464"/>
    <n v="81"/>
    <n v="32.4"/>
    <n v="23.8"/>
    <n v="5818553"/>
  </r>
  <r>
    <n v="365"/>
    <x v="346"/>
    <x v="10"/>
    <x v="33"/>
    <x v="0"/>
    <x v="172"/>
    <s v="Lego"/>
    <x v="10"/>
    <x v="0"/>
    <x v="0"/>
    <s v="Kristiansen"/>
    <s v="Thomas Kirk"/>
    <x v="156"/>
    <x v="52"/>
    <n v="1979"/>
    <n v="1"/>
    <n v="1"/>
    <n v="110.35"/>
    <n v="348078018464"/>
    <n v="81"/>
    <n v="32.4"/>
    <n v="23.8"/>
    <n v="5818553"/>
  </r>
  <r>
    <n v="365"/>
    <x v="347"/>
    <x v="13"/>
    <x v="24"/>
    <x v="0"/>
    <x v="173"/>
    <s v="Pharmaceuticals"/>
    <x v="13"/>
    <x v="0"/>
    <x v="1"/>
    <s v="Landini Aleotti"/>
    <s v="Massimiliana"/>
    <x v="156"/>
    <x v="33"/>
    <n v="1943"/>
    <n v="1"/>
    <n v="1"/>
    <n v="110.62"/>
    <n v="2001244392042"/>
    <n v="82.9"/>
    <n v="24.3"/>
    <n v="59.1"/>
    <n v="60297396"/>
  </r>
  <r>
    <n v="365"/>
    <x v="348"/>
    <x v="1"/>
    <x v="5"/>
    <x v="2"/>
    <x v="29"/>
    <s v="Batteries"/>
    <x v="1"/>
    <x v="1"/>
    <x v="0"/>
    <s v="Li"/>
    <s v="Ping"/>
    <x v="156"/>
    <x v="40"/>
    <n v="1968"/>
    <n v="1"/>
    <n v="1"/>
    <n v="125.08"/>
    <n v="19910000000000"/>
    <n v="77"/>
    <n v="9.4"/>
    <n v="59.2"/>
    <n v="1397715000"/>
  </r>
  <r>
    <n v="365"/>
    <x v="349"/>
    <x v="10"/>
    <x v="5"/>
    <x v="2"/>
    <x v="12"/>
    <s v="Solar panel components"/>
    <x v="10"/>
    <x v="1"/>
    <x v="0"/>
    <s v="Lin"/>
    <s v="Jianhua"/>
    <x v="156"/>
    <x v="15"/>
    <n v="1962"/>
    <n v="8"/>
    <n v="1"/>
    <n v="125.08"/>
    <n v="19910000000000"/>
    <n v="77"/>
    <n v="9.4"/>
    <n v="59.2"/>
    <n v="1397715000"/>
  </r>
  <r>
    <n v="365"/>
    <x v="350"/>
    <x v="10"/>
    <x v="8"/>
    <x v="0"/>
    <x v="174"/>
    <s v="Chemicals"/>
    <x v="10"/>
    <x v="0"/>
    <x v="1"/>
    <s v="Martullo-Blocher"/>
    <s v="Magdalena"/>
    <x v="156"/>
    <x v="22"/>
    <n v="1969"/>
    <n v="1"/>
    <n v="1"/>
    <n v="99.55"/>
    <n v="703082435360"/>
    <n v="83.6"/>
    <n v="10.1"/>
    <n v="28.8"/>
    <n v="8574832"/>
  </r>
  <r>
    <n v="365"/>
    <x v="351"/>
    <x v="5"/>
    <x v="0"/>
    <x v="0"/>
    <x v="0"/>
    <s v="Internet, telecom"/>
    <x v="5"/>
    <x v="1"/>
    <x v="0"/>
    <s v="Niel"/>
    <s v="Xavier"/>
    <x v="156"/>
    <x v="40"/>
    <n v="1967"/>
    <n v="8"/>
    <n v="25"/>
    <n v="110.05"/>
    <n v="2715518274227"/>
    <n v="82.5"/>
    <n v="24.2"/>
    <n v="60.7"/>
    <n v="67059887"/>
  </r>
  <r>
    <n v="365"/>
    <x v="352"/>
    <x v="12"/>
    <x v="1"/>
    <x v="1"/>
    <x v="175"/>
    <s v="Natural gas"/>
    <x v="12"/>
    <x v="1"/>
    <x v="0"/>
    <s v="Pegula"/>
    <s v="Terrence"/>
    <x v="156"/>
    <x v="24"/>
    <n v="1951"/>
    <n v="3"/>
    <n v="27"/>
    <n v="117.24"/>
    <n v="21427700000000"/>
    <n v="78.5"/>
    <n v="9.6"/>
    <n v="36.6"/>
    <n v="328239523"/>
  </r>
  <r>
    <n v="365"/>
    <x v="353"/>
    <x v="15"/>
    <x v="1"/>
    <x v="1"/>
    <x v="111"/>
    <s v="Real estate"/>
    <x v="15"/>
    <x v="0"/>
    <x v="0"/>
    <s v="Roski"/>
    <s v="Edward"/>
    <x v="156"/>
    <x v="28"/>
    <n v="1938"/>
    <n v="12"/>
    <n v="25"/>
    <n v="117.24"/>
    <n v="21427700000000"/>
    <n v="78.5"/>
    <n v="9.6"/>
    <n v="36.6"/>
    <n v="328239523"/>
  </r>
  <r>
    <n v="365"/>
    <x v="354"/>
    <x v="15"/>
    <x v="1"/>
    <x v="1"/>
    <x v="67"/>
    <s v="Real estate"/>
    <x v="15"/>
    <x v="1"/>
    <x v="0"/>
    <s v="Sobrato"/>
    <s v="John A."/>
    <x v="156"/>
    <x v="7"/>
    <n v="1939"/>
    <n v="5"/>
    <n v="23"/>
    <n v="117.24"/>
    <n v="21427700000000"/>
    <n v="78.5"/>
    <n v="9.6"/>
    <n v="36.6"/>
    <n v="328239523"/>
  </r>
  <r>
    <n v="365"/>
    <x v="355"/>
    <x v="3"/>
    <x v="1"/>
    <x v="1"/>
    <x v="176"/>
    <s v="Hedge funds"/>
    <x v="3"/>
    <x v="1"/>
    <x v="0"/>
    <s v="Soros"/>
    <s v="George"/>
    <x v="156"/>
    <x v="4"/>
    <n v="1930"/>
    <n v="8"/>
    <n v="12"/>
    <n v="117.24"/>
    <n v="21427700000000"/>
    <n v="78.5"/>
    <n v="9.6"/>
    <n v="36.6"/>
    <n v="328239523"/>
  </r>
  <r>
    <n v="365"/>
    <x v="356"/>
    <x v="2"/>
    <x v="1"/>
    <x v="1"/>
    <x v="177"/>
    <s v="Computer hardware"/>
    <x v="2"/>
    <x v="1"/>
    <x v="0"/>
    <s v="Sun"/>
    <s v="David"/>
    <x v="156"/>
    <x v="50"/>
    <n v="1951"/>
    <n v="10"/>
    <n v="12"/>
    <n v="117.24"/>
    <n v="21427700000000"/>
    <n v="78.5"/>
    <n v="9.6"/>
    <n v="36.6"/>
    <n v="328239523"/>
  </r>
  <r>
    <n v="365"/>
    <x v="357"/>
    <x v="10"/>
    <x v="33"/>
    <x v="0"/>
    <x v="172"/>
    <s v="Lego"/>
    <x v="10"/>
    <x v="0"/>
    <x v="1"/>
    <s v="Thinggaard"/>
    <s v="Agnete Kirk"/>
    <x v="156"/>
    <x v="19"/>
    <n v="1983"/>
    <n v="5"/>
    <n v="18"/>
    <n v="110.35"/>
    <n v="348078018464"/>
    <n v="81"/>
    <n v="32.4"/>
    <n v="23.8"/>
    <n v="5818553"/>
  </r>
  <r>
    <n v="365"/>
    <x v="358"/>
    <x v="2"/>
    <x v="1"/>
    <x v="1"/>
    <x v="178"/>
    <s v="Computer hardware"/>
    <x v="2"/>
    <x v="1"/>
    <x v="0"/>
    <s v="Tu"/>
    <s v="John"/>
    <x v="156"/>
    <x v="6"/>
    <n v="1941"/>
    <n v="8"/>
    <n v="12"/>
    <n v="117.24"/>
    <n v="21427700000000"/>
    <n v="78.5"/>
    <n v="9.6"/>
    <n v="36.6"/>
    <n v="328239523"/>
  </r>
  <r>
    <n v="365"/>
    <x v="359"/>
    <x v="7"/>
    <x v="5"/>
    <x v="2"/>
    <x v="143"/>
    <s v="Snacks, beverages"/>
    <x v="7"/>
    <x v="1"/>
    <x v="0"/>
    <s v="Xu"/>
    <s v="Shihui"/>
    <x v="156"/>
    <x v="8"/>
    <n v="1958"/>
    <n v="1"/>
    <n v="1"/>
    <n v="125.08"/>
    <n v="19910000000000"/>
    <n v="77"/>
    <n v="9.4"/>
    <n v="59.2"/>
    <n v="1397715000"/>
  </r>
  <r>
    <n v="383"/>
    <x v="360"/>
    <x v="10"/>
    <x v="8"/>
    <x v="0"/>
    <x v="179"/>
    <s v="Chemicals"/>
    <x v="10"/>
    <x v="0"/>
    <x v="1"/>
    <s v="Blocher"/>
    <s v="Rahel"/>
    <x v="157"/>
    <x v="44"/>
    <n v="1976"/>
    <n v="1"/>
    <n v="1"/>
    <n v="99.55"/>
    <n v="703082435360"/>
    <n v="83.6"/>
    <n v="10.1"/>
    <n v="28.8"/>
    <n v="8574832"/>
  </r>
  <r>
    <n v="383"/>
    <x v="361"/>
    <x v="7"/>
    <x v="1"/>
    <x v="1"/>
    <x v="135"/>
    <s v="Chick-fil-A"/>
    <x v="7"/>
    <x v="0"/>
    <x v="0"/>
    <s v="Cathy"/>
    <s v="Bubba"/>
    <x v="157"/>
    <x v="13"/>
    <n v="1954"/>
    <n v="4"/>
    <n v="22"/>
    <n v="117.24"/>
    <n v="21427700000000"/>
    <n v="78.5"/>
    <n v="9.6"/>
    <n v="36.6"/>
    <n v="328239523"/>
  </r>
  <r>
    <n v="383"/>
    <x v="362"/>
    <x v="7"/>
    <x v="1"/>
    <x v="1"/>
    <x v="135"/>
    <s v="Chick-fil-A"/>
    <x v="7"/>
    <x v="0"/>
    <x v="0"/>
    <s v="Cathy"/>
    <s v="Dan"/>
    <x v="157"/>
    <x v="34"/>
    <n v="1953"/>
    <n v="3"/>
    <n v="1"/>
    <n v="117.24"/>
    <n v="21427700000000"/>
    <n v="78.5"/>
    <n v="9.6"/>
    <n v="36.6"/>
    <n v="328239523"/>
  </r>
  <r>
    <n v="383"/>
    <x v="363"/>
    <x v="7"/>
    <x v="1"/>
    <x v="1"/>
    <x v="180"/>
    <s v="Chick-fil-A"/>
    <x v="7"/>
    <x v="0"/>
    <x v="1"/>
    <s v="Cathy White"/>
    <s v="Trudy"/>
    <x v="157"/>
    <x v="5"/>
    <n v="1955"/>
    <n v="12"/>
    <n v="17"/>
    <n v="117.24"/>
    <n v="21427700000000"/>
    <n v="78.5"/>
    <n v="9.6"/>
    <n v="36.6"/>
    <n v="328239523"/>
  </r>
  <r>
    <n v="383"/>
    <x v="364"/>
    <x v="3"/>
    <x v="1"/>
    <x v="1"/>
    <x v="5"/>
    <s v="Hedge funds"/>
    <x v="3"/>
    <x v="1"/>
    <x v="0"/>
    <s v="Kovner"/>
    <s v="Bruce"/>
    <x v="157"/>
    <x v="3"/>
    <n v="1945"/>
    <n v="2"/>
    <n v="25"/>
    <n v="117.24"/>
    <n v="21427700000000"/>
    <n v="78.5"/>
    <n v="9.6"/>
    <n v="36.6"/>
    <n v="328239523"/>
  </r>
  <r>
    <n v="383"/>
    <x v="365"/>
    <x v="2"/>
    <x v="1"/>
    <x v="1"/>
    <x v="181"/>
    <s v="Semiconductors"/>
    <x v="2"/>
    <x v="1"/>
    <x v="0"/>
    <s v="Nicholas"/>
    <s v="Henry"/>
    <x v="157"/>
    <x v="49"/>
    <n v="1959"/>
    <n v="10"/>
    <n v="8"/>
    <n v="117.24"/>
    <n v="21427700000000"/>
    <n v="78.5"/>
    <n v="9.6"/>
    <n v="36.6"/>
    <n v="328239523"/>
  </r>
  <r>
    <n v="383"/>
    <x v="366"/>
    <x v="3"/>
    <x v="7"/>
    <x v="0"/>
    <x v="182"/>
    <s v="Investments"/>
    <x v="3"/>
    <x v="0"/>
    <x v="1"/>
    <s v="Thiele"/>
    <s v="Nadia"/>
    <x v="157"/>
    <x v="44"/>
    <n v="1976"/>
    <n v="1"/>
    <n v="7"/>
    <n v="112.85"/>
    <n v="3845630030824"/>
    <n v="80.900000000000006"/>
    <n v="11.5"/>
    <n v="48.8"/>
    <n v="83132799"/>
  </r>
  <r>
    <n v="390"/>
    <x v="367"/>
    <x v="3"/>
    <x v="1"/>
    <x v="1"/>
    <x v="15"/>
    <s v="Private equity"/>
    <x v="3"/>
    <x v="1"/>
    <x v="0"/>
    <s v="Bonderman"/>
    <s v="David"/>
    <x v="158"/>
    <x v="33"/>
    <n v="1942"/>
    <n v="11"/>
    <n v="27"/>
    <n v="117.24"/>
    <n v="21427700000000"/>
    <n v="78.5"/>
    <n v="9.6"/>
    <n v="36.6"/>
    <n v="328239523"/>
  </r>
  <r>
    <n v="390"/>
    <x v="368"/>
    <x v="2"/>
    <x v="1"/>
    <x v="1"/>
    <x v="2"/>
    <s v="Microsoft"/>
    <x v="2"/>
    <x v="0"/>
    <x v="1"/>
    <s v="French Gates"/>
    <s v="Melinda"/>
    <x v="158"/>
    <x v="17"/>
    <n v="1964"/>
    <n v="8"/>
    <n v="15"/>
    <n v="117.24"/>
    <n v="21427700000000"/>
    <n v="78.5"/>
    <n v="9.6"/>
    <n v="36.6"/>
    <n v="328239523"/>
  </r>
  <r>
    <n v="390"/>
    <x v="369"/>
    <x v="15"/>
    <x v="1"/>
    <x v="1"/>
    <x v="183"/>
    <s v="Real estate"/>
    <x v="15"/>
    <x v="0"/>
    <x v="1"/>
    <s v="Lerner"/>
    <s v="Annette"/>
    <x v="158"/>
    <x v="46"/>
    <n v="1930"/>
    <n v="2"/>
    <n v="27"/>
    <n v="117.24"/>
    <n v="21427700000000"/>
    <n v="78.5"/>
    <n v="9.6"/>
    <n v="36.6"/>
    <n v="328239523"/>
  </r>
  <r>
    <n v="390"/>
    <x v="370"/>
    <x v="15"/>
    <x v="12"/>
    <x v="0"/>
    <x v="31"/>
    <s v="Investments, real estate"/>
    <x v="15"/>
    <x v="1"/>
    <x v="0"/>
    <s v="Reuben"/>
    <s v="David"/>
    <x v="158"/>
    <x v="28"/>
    <n v="1938"/>
    <n v="9"/>
    <n v="1"/>
    <n v="119.62"/>
    <n v="2827113184696"/>
    <n v="81.3"/>
    <n v="25.5"/>
    <n v="30.6"/>
    <n v="66834405"/>
  </r>
  <r>
    <n v="390"/>
    <x v="371"/>
    <x v="15"/>
    <x v="8"/>
    <x v="0"/>
    <x v="184"/>
    <s v="Real estate"/>
    <x v="15"/>
    <x v="1"/>
    <x v="0"/>
    <s v="Vitek"/>
    <s v="Radovan"/>
    <x v="158"/>
    <x v="1"/>
    <n v="1971"/>
    <n v="4"/>
    <n v="22"/>
    <n v="99.55"/>
    <n v="703082435360"/>
    <n v="83.6"/>
    <n v="10.1"/>
    <n v="28.8"/>
    <n v="8574832"/>
  </r>
  <r>
    <n v="397"/>
    <x v="372"/>
    <x v="3"/>
    <x v="19"/>
    <x v="0"/>
    <x v="185"/>
    <s v="Investments"/>
    <x v="3"/>
    <x v="1"/>
    <x v="0"/>
    <s v="Bennet"/>
    <s v="Carl"/>
    <x v="159"/>
    <x v="50"/>
    <n v="1951"/>
    <n v="8"/>
    <n v="19"/>
    <n v="110.51"/>
    <n v="530832908738"/>
    <n v="82.5"/>
    <n v="27.9"/>
    <n v="49.1"/>
    <n v="10285453"/>
  </r>
  <r>
    <n v="397"/>
    <x v="373"/>
    <x v="17"/>
    <x v="1"/>
    <x v="1"/>
    <x v="162"/>
    <s v="Staffing, Baltimore Ravens"/>
    <x v="17"/>
    <x v="1"/>
    <x v="0"/>
    <s v="Bisciotti"/>
    <s v="Stephen"/>
    <x v="159"/>
    <x v="32"/>
    <n v="1960"/>
    <n v="4"/>
    <n v="10"/>
    <n v="117.24"/>
    <n v="21427700000000"/>
    <n v="78.5"/>
    <n v="9.6"/>
    <n v="36.6"/>
    <n v="328239523"/>
  </r>
  <r>
    <n v="397"/>
    <x v="374"/>
    <x v="3"/>
    <x v="1"/>
    <x v="1"/>
    <x v="5"/>
    <s v="Hedge funds"/>
    <x v="3"/>
    <x v="1"/>
    <x v="0"/>
    <s v="Druckenmiller"/>
    <s v="Stanley"/>
    <x v="159"/>
    <x v="9"/>
    <n v="1953"/>
    <n v="6"/>
    <n v="14"/>
    <n v="117.24"/>
    <n v="21427700000000"/>
    <n v="78.5"/>
    <n v="9.6"/>
    <n v="36.6"/>
    <n v="328239523"/>
  </r>
  <r>
    <n v="397"/>
    <x v="375"/>
    <x v="13"/>
    <x v="5"/>
    <x v="2"/>
    <x v="19"/>
    <s v="Biomedical products"/>
    <x v="13"/>
    <x v="1"/>
    <x v="1"/>
    <s v="Jian"/>
    <s v="Jun"/>
    <x v="159"/>
    <x v="2"/>
    <n v="1963"/>
    <n v="11"/>
    <n v="1"/>
    <n v="125.08"/>
    <n v="19910000000000"/>
    <n v="77"/>
    <n v="9.4"/>
    <n v="59.2"/>
    <n v="1397715000"/>
  </r>
  <r>
    <n v="397"/>
    <x v="376"/>
    <x v="12"/>
    <x v="0"/>
    <x v="0"/>
    <x v="0"/>
    <s v="Oil, banking, telecom"/>
    <x v="12"/>
    <x v="1"/>
    <x v="0"/>
    <s v="Kuzmichev"/>
    <s v="Alexei"/>
    <x v="159"/>
    <x v="15"/>
    <n v="1962"/>
    <n v="10"/>
    <n v="15"/>
    <n v="110.05"/>
    <n v="2715518274227"/>
    <n v="82.5"/>
    <n v="24.2"/>
    <n v="60.7"/>
    <n v="67059887"/>
  </r>
  <r>
    <n v="397"/>
    <x v="377"/>
    <x v="3"/>
    <x v="34"/>
    <x v="3"/>
    <x v="186"/>
    <s v="Banking"/>
    <x v="3"/>
    <x v="1"/>
    <x v="0"/>
    <s v="Sarmiento"/>
    <s v="Luis Carlos"/>
    <x v="159"/>
    <x v="38"/>
    <n v="1933"/>
    <n v="1"/>
    <n v="27"/>
    <n v="140.94999999999999"/>
    <n v="323802808108"/>
    <n v="77.099999999999994"/>
    <n v="14.4"/>
    <n v="71.2"/>
    <n v="50339443"/>
  </r>
  <r>
    <n v="397"/>
    <x v="378"/>
    <x v="8"/>
    <x v="1"/>
    <x v="1"/>
    <x v="187"/>
    <s v="Construction, mining"/>
    <x v="8"/>
    <x v="1"/>
    <x v="0"/>
    <s v="Washington"/>
    <s v="Dennis"/>
    <x v="159"/>
    <x v="45"/>
    <n v="1934"/>
    <n v="7"/>
    <n v="27"/>
    <n v="117.24"/>
    <n v="21427700000000"/>
    <n v="78.5"/>
    <n v="9.6"/>
    <n v="36.6"/>
    <n v="328239523"/>
  </r>
  <r>
    <n v="405"/>
    <x v="379"/>
    <x v="16"/>
    <x v="12"/>
    <x v="0"/>
    <x v="117"/>
    <s v="Construction equipment"/>
    <x v="16"/>
    <x v="0"/>
    <x v="0"/>
    <s v="Bamford"/>
    <s v="Anthony"/>
    <x v="160"/>
    <x v="21"/>
    <n v="1945"/>
    <n v="10"/>
    <n v="23"/>
    <n v="119.62"/>
    <n v="2827113184696"/>
    <n v="81.3"/>
    <n v="25.5"/>
    <n v="30.6"/>
    <n v="66834405"/>
  </r>
  <r>
    <n v="405"/>
    <x v="380"/>
    <x v="12"/>
    <x v="5"/>
    <x v="2"/>
    <x v="124"/>
    <s v="Solar equipment"/>
    <x v="12"/>
    <x v="1"/>
    <x v="0"/>
    <s v="Gao"/>
    <s v="Jifan"/>
    <x v="160"/>
    <x v="17"/>
    <n v="1965"/>
    <n v="1"/>
    <n v="1"/>
    <n v="125.08"/>
    <n v="19910000000000"/>
    <n v="77"/>
    <n v="9.4"/>
    <n v="59.2"/>
    <n v="1397715000"/>
  </r>
  <r>
    <n v="405"/>
    <x v="381"/>
    <x v="3"/>
    <x v="12"/>
    <x v="0"/>
    <x v="31"/>
    <s v="Private equity"/>
    <x v="3"/>
    <x v="1"/>
    <x v="0"/>
    <s v="Grayken"/>
    <s v="John"/>
    <x v="160"/>
    <x v="35"/>
    <n v="1956"/>
    <n v="6"/>
    <n v="1"/>
    <n v="119.62"/>
    <n v="2827113184696"/>
    <n v="81.3"/>
    <n v="25.5"/>
    <n v="30.6"/>
    <n v="66834405"/>
  </r>
  <r>
    <n v="405"/>
    <x v="382"/>
    <x v="13"/>
    <x v="0"/>
    <x v="0"/>
    <x v="188"/>
    <s v="Pharmaceuticals"/>
    <x v="13"/>
    <x v="0"/>
    <x v="0"/>
    <s v="Merieux"/>
    <s v="Alain"/>
    <x v="160"/>
    <x v="18"/>
    <n v="1938"/>
    <n v="1"/>
    <n v="1"/>
    <n v="110.05"/>
    <n v="2715518274227"/>
    <n v="82.5"/>
    <n v="24.2"/>
    <n v="60.7"/>
    <n v="67059887"/>
  </r>
  <r>
    <n v="405"/>
    <x v="383"/>
    <x v="12"/>
    <x v="5"/>
    <x v="2"/>
    <x v="189"/>
    <s v="Natural gas distribution"/>
    <x v="12"/>
    <x v="1"/>
    <x v="0"/>
    <s v="Wang"/>
    <s v="Yusuo"/>
    <x v="160"/>
    <x v="2"/>
    <n v="1964"/>
    <n v="3"/>
    <n v="11"/>
    <n v="125.08"/>
    <n v="19910000000000"/>
    <n v="77"/>
    <n v="9.4"/>
    <n v="59.2"/>
    <n v="1397715000"/>
  </r>
  <r>
    <n v="405"/>
    <x v="384"/>
    <x v="10"/>
    <x v="23"/>
    <x v="0"/>
    <x v="190"/>
    <s v="Metalworking tools"/>
    <x v="10"/>
    <x v="1"/>
    <x v="0"/>
    <s v="Wertheimer"/>
    <s v="Stef"/>
    <x v="160"/>
    <x v="59"/>
    <n v="1926"/>
    <n v="7"/>
    <n v="16"/>
    <n v="108.15"/>
    <n v="395098666122"/>
    <n v="82.8"/>
    <n v="23.1"/>
    <n v="25.3"/>
    <n v="9053300"/>
  </r>
  <r>
    <n v="411"/>
    <x v="385"/>
    <x v="7"/>
    <x v="2"/>
    <x v="1"/>
    <x v="6"/>
    <s v="Beer, investments"/>
    <x v="7"/>
    <x v="0"/>
    <x v="1"/>
    <s v="Aramburuzabala"/>
    <s v="Maria Asuncion"/>
    <x v="161"/>
    <x v="2"/>
    <n v="1963"/>
    <n v="5"/>
    <n v="2"/>
    <n v="141.54"/>
    <n v="1258286717125"/>
    <n v="75"/>
    <n v="13.1"/>
    <n v="55.1"/>
    <n v="126014024"/>
  </r>
  <r>
    <n v="411"/>
    <x v="386"/>
    <x v="6"/>
    <x v="19"/>
    <x v="0"/>
    <x v="66"/>
    <s v="Investments"/>
    <x v="6"/>
    <x v="1"/>
    <x v="0"/>
    <s v="Douglas"/>
    <s v="Gustaf"/>
    <x v="161"/>
    <x v="18"/>
    <n v="1938"/>
    <n v="3"/>
    <n v="3"/>
    <n v="110.51"/>
    <n v="530832908738"/>
    <n v="82.5"/>
    <n v="27.9"/>
    <n v="49.1"/>
    <n v="10285453"/>
  </r>
  <r>
    <n v="411"/>
    <x v="387"/>
    <x v="14"/>
    <x v="35"/>
    <x v="0"/>
    <x v="191"/>
    <s v="Temp agency"/>
    <x v="14"/>
    <x v="1"/>
    <x v="0"/>
    <s v="Goldschmeding"/>
    <s v="Frits"/>
    <x v="161"/>
    <x v="56"/>
    <n v="1933"/>
    <n v="8"/>
    <n v="2"/>
    <n v="115.91"/>
    <n v="909070395161"/>
    <n v="81.8"/>
    <n v="23"/>
    <n v="41.2"/>
    <n v="17332850"/>
  </r>
  <r>
    <n v="411"/>
    <x v="388"/>
    <x v="7"/>
    <x v="5"/>
    <x v="2"/>
    <x v="25"/>
    <s v="Beverages"/>
    <x v="7"/>
    <x v="1"/>
    <x v="0"/>
    <s v="Lin"/>
    <s v="Muqin"/>
    <x v="161"/>
    <x v="2"/>
    <n v="1964"/>
    <n v="1"/>
    <n v="1"/>
    <n v="125.08"/>
    <n v="19910000000000"/>
    <n v="77"/>
    <n v="9.4"/>
    <n v="59.2"/>
    <n v="1397715000"/>
  </r>
  <r>
    <n v="411"/>
    <x v="389"/>
    <x v="10"/>
    <x v="5"/>
    <x v="2"/>
    <x v="110"/>
    <s v="Power strips"/>
    <x v="10"/>
    <x v="1"/>
    <x v="0"/>
    <s v="Ruan"/>
    <s v="Liping"/>
    <x v="161"/>
    <x v="2"/>
    <n v="1964"/>
    <n v="1"/>
    <n v="1"/>
    <n v="125.08"/>
    <n v="19910000000000"/>
    <n v="77"/>
    <n v="9.4"/>
    <n v="59.2"/>
    <n v="1397715000"/>
  </r>
  <r>
    <n v="411"/>
    <x v="390"/>
    <x v="10"/>
    <x v="5"/>
    <x v="2"/>
    <x v="110"/>
    <s v="Power strip"/>
    <x v="10"/>
    <x v="1"/>
    <x v="0"/>
    <s v="Ruan"/>
    <s v="Xueping"/>
    <x v="161"/>
    <x v="1"/>
    <n v="1972"/>
    <n v="1"/>
    <n v="1"/>
    <n v="125.08"/>
    <n v="19910000000000"/>
    <n v="77"/>
    <n v="9.4"/>
    <n v="59.2"/>
    <n v="1397715000"/>
  </r>
  <r>
    <n v="411"/>
    <x v="391"/>
    <x v="3"/>
    <x v="36"/>
    <x v="0"/>
    <x v="192"/>
    <s v="Investments"/>
    <x v="3"/>
    <x v="1"/>
    <x v="0"/>
    <s v="Solowow"/>
    <s v="Michal"/>
    <x v="161"/>
    <x v="15"/>
    <n v="1962"/>
    <n v="7"/>
    <n v="11"/>
    <n v="114.11"/>
    <n v="592164400688"/>
    <n v="77.599999999999994"/>
    <n v="17.399999999999999"/>
    <n v="40.799999999999997"/>
    <n v="37970874"/>
  </r>
  <r>
    <n v="418"/>
    <x v="392"/>
    <x v="6"/>
    <x v="22"/>
    <x v="0"/>
    <x v="73"/>
    <s v="Telecom, oil"/>
    <x v="6"/>
    <x v="1"/>
    <x v="0"/>
    <s v="Adenuga"/>
    <s v="Mike"/>
    <x v="162"/>
    <x v="9"/>
    <n v="1953"/>
    <n v="4"/>
    <n v="29"/>
    <n v="267.51"/>
    <n v="448120428859"/>
    <n v="54.3"/>
    <n v="1.5"/>
    <n v="34.799999999999997"/>
    <n v="200963599"/>
  </r>
  <r>
    <n v="418"/>
    <x v="393"/>
    <x v="3"/>
    <x v="1"/>
    <x v="1"/>
    <x v="121"/>
    <s v="Private equity"/>
    <x v="3"/>
    <x v="1"/>
    <x v="0"/>
    <s v="Gores"/>
    <s v="Tom"/>
    <x v="162"/>
    <x v="17"/>
    <n v="1964"/>
    <n v="7"/>
    <n v="31"/>
    <n v="117.24"/>
    <n v="21427700000000"/>
    <n v="78.5"/>
    <n v="9.6"/>
    <n v="36.6"/>
    <n v="328239523"/>
  </r>
  <r>
    <n v="418"/>
    <x v="394"/>
    <x v="0"/>
    <x v="7"/>
    <x v="0"/>
    <x v="123"/>
    <s v="Coffee"/>
    <x v="0"/>
    <x v="0"/>
    <x v="0"/>
    <s v="Herz"/>
    <s v="Michael"/>
    <x v="162"/>
    <x v="53"/>
    <n v="1943"/>
    <n v="9"/>
    <n v="28"/>
    <n v="112.85"/>
    <n v="3845630030824"/>
    <n v="80.900000000000006"/>
    <n v="11.5"/>
    <n v="48.8"/>
    <n v="83132799"/>
  </r>
  <r>
    <n v="418"/>
    <x v="395"/>
    <x v="0"/>
    <x v="7"/>
    <x v="0"/>
    <x v="123"/>
    <s v="Coffee"/>
    <x v="0"/>
    <x v="0"/>
    <x v="0"/>
    <s v="Herz"/>
    <s v="Wolfgang"/>
    <x v="162"/>
    <x v="24"/>
    <n v="1951"/>
    <n v="1"/>
    <n v="1"/>
    <n v="112.85"/>
    <n v="3845630030824"/>
    <n v="80.900000000000006"/>
    <n v="11.5"/>
    <n v="48.8"/>
    <n v="83132799"/>
  </r>
  <r>
    <n v="425"/>
    <x v="396"/>
    <x v="11"/>
    <x v="16"/>
    <x v="0"/>
    <x v="46"/>
    <s v="Steel, mining"/>
    <x v="11"/>
    <x v="1"/>
    <x v="0"/>
    <s v="Abramov"/>
    <s v="Alexander"/>
    <x v="163"/>
    <x v="27"/>
    <n v="1959"/>
    <n v="2"/>
    <n v="20"/>
    <n v="180.75"/>
    <n v="1699876578871"/>
    <n v="72.7"/>
    <n v="11.4"/>
    <n v="46.2"/>
    <n v="144373535"/>
  </r>
  <r>
    <n v="425"/>
    <x v="397"/>
    <x v="15"/>
    <x v="1"/>
    <x v="1"/>
    <x v="52"/>
    <s v="Real estate"/>
    <x v="15"/>
    <x v="1"/>
    <x v="0"/>
    <s v="Bluhm"/>
    <s v="Neil"/>
    <x v="163"/>
    <x v="18"/>
    <n v="1938"/>
    <n v="1"/>
    <n v="12"/>
    <n v="117.24"/>
    <n v="21427700000000"/>
    <n v="78.5"/>
    <n v="9.6"/>
    <n v="36.6"/>
    <n v="328239523"/>
  </r>
  <r>
    <n v="425"/>
    <x v="398"/>
    <x v="0"/>
    <x v="6"/>
    <x v="1"/>
    <x v="193"/>
    <s v="Convinience stores"/>
    <x v="0"/>
    <x v="1"/>
    <x v="0"/>
    <s v="Bouchard"/>
    <s v="Alain"/>
    <x v="163"/>
    <x v="0"/>
    <n v="1949"/>
    <n v="2"/>
    <n v="18"/>
    <n v="116.76"/>
    <n v="1736425629520"/>
    <n v="81.900000000000006"/>
    <n v="12.8"/>
    <n v="24.5"/>
    <n v="36991981"/>
  </r>
  <r>
    <n v="425"/>
    <x v="399"/>
    <x v="2"/>
    <x v="1"/>
    <x v="1"/>
    <x v="194"/>
    <s v="Security software"/>
    <x v="2"/>
    <x v="1"/>
    <x v="0"/>
    <s v="Chaudhry"/>
    <s v="Jay"/>
    <x v="163"/>
    <x v="49"/>
    <n v="1959"/>
    <n v="8"/>
    <n v="26"/>
    <n v="117.24"/>
    <n v="21427700000000"/>
    <n v="78.5"/>
    <n v="9.6"/>
    <n v="36.6"/>
    <n v="328239523"/>
  </r>
  <r>
    <n v="425"/>
    <x v="400"/>
    <x v="0"/>
    <x v="3"/>
    <x v="2"/>
    <x v="7"/>
    <s v="Retail, investments"/>
    <x v="0"/>
    <x v="1"/>
    <x v="0"/>
    <s v="Damani"/>
    <s v="Gopikishan"/>
    <x v="163"/>
    <x v="8"/>
    <n v="1958"/>
    <n v="1"/>
    <n v="1"/>
    <n v="180.44"/>
    <n v="2611000000000"/>
    <n v="69.400000000000006"/>
    <n v="11.2"/>
    <n v="49.7"/>
    <n v="1366417754"/>
  </r>
  <r>
    <n v="425"/>
    <x v="401"/>
    <x v="6"/>
    <x v="20"/>
    <x v="2"/>
    <x v="70"/>
    <s v="Diversified"/>
    <x v="6"/>
    <x v="0"/>
    <x v="0"/>
    <s v="Jiaravanon"/>
    <s v="Sumet"/>
    <x v="163"/>
    <x v="45"/>
    <n v="1934"/>
    <n v="11"/>
    <n v="2"/>
    <n v="113.27"/>
    <n v="543649976166"/>
    <n v="76.900000000000006"/>
    <n v="14.9"/>
    <n v="29.5"/>
    <n v="69625582"/>
  </r>
  <r>
    <n v="425"/>
    <x v="402"/>
    <x v="3"/>
    <x v="23"/>
    <x v="0"/>
    <x v="190"/>
    <s v="Investments"/>
    <x v="3"/>
    <x v="1"/>
    <x v="0"/>
    <s v="Lowy"/>
    <s v="Frank"/>
    <x v="163"/>
    <x v="4"/>
    <n v="1930"/>
    <n v="10"/>
    <n v="22"/>
    <n v="108.15"/>
    <n v="395098666122"/>
    <n v="82.8"/>
    <n v="23.1"/>
    <n v="25.3"/>
    <n v="9053300"/>
  </r>
  <r>
    <n v="425"/>
    <x v="403"/>
    <x v="3"/>
    <x v="1"/>
    <x v="1"/>
    <x v="111"/>
    <s v="Investments"/>
    <x v="3"/>
    <x v="1"/>
    <x v="0"/>
    <s v="Milken"/>
    <s v="Michael"/>
    <x v="163"/>
    <x v="29"/>
    <n v="1946"/>
    <n v="7"/>
    <n v="4"/>
    <n v="117.24"/>
    <n v="21427700000000"/>
    <n v="78.5"/>
    <n v="9.6"/>
    <n v="36.6"/>
    <n v="328239523"/>
  </r>
  <r>
    <n v="425"/>
    <x v="404"/>
    <x v="2"/>
    <x v="1"/>
    <x v="1"/>
    <x v="164"/>
    <s v="IT provider"/>
    <x v="2"/>
    <x v="1"/>
    <x v="0"/>
    <s v="Steward"/>
    <s v="David"/>
    <x v="163"/>
    <x v="50"/>
    <n v="1951"/>
    <n v="7"/>
    <n v="2"/>
    <n v="117.24"/>
    <n v="21427700000000"/>
    <n v="78.5"/>
    <n v="9.6"/>
    <n v="36.6"/>
    <n v="328239523"/>
  </r>
  <r>
    <n v="425"/>
    <x v="405"/>
    <x v="0"/>
    <x v="1"/>
    <x v="1"/>
    <x v="195"/>
    <s v="Retail"/>
    <x v="0"/>
    <x v="1"/>
    <x v="0"/>
    <s v="Wexner"/>
    <s v="Les"/>
    <x v="163"/>
    <x v="18"/>
    <n v="1937"/>
    <n v="9"/>
    <n v="8"/>
    <n v="117.24"/>
    <n v="21427700000000"/>
    <n v="78.5"/>
    <n v="9.6"/>
    <n v="36.6"/>
    <n v="328239523"/>
  </r>
  <r>
    <n v="437"/>
    <x v="406"/>
    <x v="15"/>
    <x v="5"/>
    <x v="2"/>
    <x v="86"/>
    <s v="Real estate"/>
    <x v="15"/>
    <x v="1"/>
    <x v="0"/>
    <s v="Cai"/>
    <s v="Kui"/>
    <x v="164"/>
    <x v="15"/>
    <n v="1963"/>
    <n v="1"/>
    <n v="1"/>
    <n v="125.08"/>
    <n v="19910000000000"/>
    <n v="77"/>
    <n v="9.4"/>
    <n v="59.2"/>
    <n v="1397715000"/>
  </r>
  <r>
    <n v="437"/>
    <x v="407"/>
    <x v="6"/>
    <x v="20"/>
    <x v="2"/>
    <x v="70"/>
    <s v="Diversified"/>
    <x v="6"/>
    <x v="0"/>
    <x v="0"/>
    <s v="Chiaravanont"/>
    <s v="Jaran"/>
    <x v="164"/>
    <x v="46"/>
    <n v="1930"/>
    <n v="4"/>
    <n v="1"/>
    <n v="113.27"/>
    <n v="543649976166"/>
    <n v="76.900000000000006"/>
    <n v="14.9"/>
    <n v="29.5"/>
    <n v="69625582"/>
  </r>
  <r>
    <n v="437"/>
    <x v="408"/>
    <x v="3"/>
    <x v="1"/>
    <x v="1"/>
    <x v="196"/>
    <s v="Hedge funds"/>
    <x v="3"/>
    <x v="1"/>
    <x v="0"/>
    <s v="Halvorsen"/>
    <s v="Andreas"/>
    <x v="164"/>
    <x v="36"/>
    <n v="1961"/>
    <n v="4"/>
    <n v="23"/>
    <n v="117.24"/>
    <n v="21427700000000"/>
    <n v="78.5"/>
    <n v="9.6"/>
    <n v="36.6"/>
    <n v="328239523"/>
  </r>
  <r>
    <n v="437"/>
    <x v="409"/>
    <x v="3"/>
    <x v="1"/>
    <x v="1"/>
    <x v="111"/>
    <s v="Finance"/>
    <x v="3"/>
    <x v="1"/>
    <x v="0"/>
    <s v="Ressler"/>
    <s v="Antony"/>
    <x v="164"/>
    <x v="32"/>
    <n v="1960"/>
    <n v="10"/>
    <n v="12"/>
    <n v="117.24"/>
    <n v="21427700000000"/>
    <n v="78.5"/>
    <n v="9.6"/>
    <n v="36.6"/>
    <n v="328239523"/>
  </r>
  <r>
    <n v="437"/>
    <x v="410"/>
    <x v="7"/>
    <x v="5"/>
    <x v="2"/>
    <x v="33"/>
    <s v="Food, beverages"/>
    <x v="7"/>
    <x v="0"/>
    <x v="0"/>
    <s v="Tsai"/>
    <s v="Eng-meng"/>
    <x v="164"/>
    <x v="35"/>
    <n v="1957"/>
    <n v="1"/>
    <n v="15"/>
    <n v="125.08"/>
    <n v="19910000000000"/>
    <n v="77"/>
    <n v="9.4"/>
    <n v="59.2"/>
    <n v="1397715000"/>
  </r>
  <r>
    <n v="442"/>
    <x v="411"/>
    <x v="3"/>
    <x v="1"/>
    <x v="1"/>
    <x v="27"/>
    <s v="Private equity"/>
    <x v="3"/>
    <x v="1"/>
    <x v="0"/>
    <s v="Harris"/>
    <s v="Josh"/>
    <x v="165"/>
    <x v="17"/>
    <n v="1964"/>
    <n v="12"/>
    <n v="29"/>
    <n v="117.24"/>
    <n v="21427700000000"/>
    <n v="78.5"/>
    <n v="9.6"/>
    <n v="36.6"/>
    <n v="328239523"/>
  </r>
  <r>
    <n v="442"/>
    <x v="412"/>
    <x v="13"/>
    <x v="33"/>
    <x v="0"/>
    <x v="197"/>
    <s v="Medical devices"/>
    <x v="13"/>
    <x v="0"/>
    <x v="0"/>
    <s v="Louis-Hansen"/>
    <s v="Niels Peter"/>
    <x v="165"/>
    <x v="41"/>
    <n v="1947"/>
    <n v="10"/>
    <n v="25"/>
    <n v="110.35"/>
    <n v="348078018464"/>
    <n v="81"/>
    <n v="32.4"/>
    <n v="23.8"/>
    <n v="5818553"/>
  </r>
  <r>
    <n v="442"/>
    <x v="413"/>
    <x v="13"/>
    <x v="1"/>
    <x v="1"/>
    <x v="111"/>
    <s v="Pharmaceuticals"/>
    <x v="13"/>
    <x v="1"/>
    <x v="0"/>
    <s v="Soon-Shiong"/>
    <s v="Patrick"/>
    <x v="165"/>
    <x v="34"/>
    <n v="1952"/>
    <n v="7"/>
    <n v="29"/>
    <n v="117.24"/>
    <n v="21427700000000"/>
    <n v="78.5"/>
    <n v="9.6"/>
    <n v="36.6"/>
    <n v="328239523"/>
  </r>
  <r>
    <n v="445"/>
    <x v="414"/>
    <x v="11"/>
    <x v="37"/>
    <x v="0"/>
    <x v="198"/>
    <s v="Steel, coal"/>
    <x v="11"/>
    <x v="1"/>
    <x v="0"/>
    <s v="Akhmetov"/>
    <s v="Rinat"/>
    <x v="166"/>
    <x v="30"/>
    <n v="1966"/>
    <n v="9"/>
    <n v="21"/>
    <n v="281.66000000000003"/>
    <n v="153781069118"/>
    <n v="71.599999999999994"/>
    <n v="20.100000000000001"/>
    <n v="45.2"/>
    <n v="44385155"/>
  </r>
  <r>
    <n v="445"/>
    <x v="415"/>
    <x v="13"/>
    <x v="1"/>
    <x v="1"/>
    <x v="135"/>
    <s v="Medical equipment"/>
    <x v="13"/>
    <x v="1"/>
    <x v="0"/>
    <s v="Brown"/>
    <s v="John"/>
    <x v="166"/>
    <x v="45"/>
    <n v="1934"/>
    <n v="9"/>
    <n v="15"/>
    <n v="117.24"/>
    <n v="21427700000000"/>
    <n v="78.5"/>
    <n v="9.6"/>
    <n v="36.6"/>
    <n v="328239523"/>
  </r>
  <r>
    <n v="445"/>
    <x v="416"/>
    <x v="12"/>
    <x v="6"/>
    <x v="1"/>
    <x v="199"/>
    <s v="Oil"/>
    <x v="12"/>
    <x v="0"/>
    <x v="0"/>
    <s v="Irving"/>
    <s v="Arthur"/>
    <x v="166"/>
    <x v="46"/>
    <n v="1930"/>
    <n v="1"/>
    <n v="1"/>
    <n v="116.76"/>
    <n v="1736425629520"/>
    <n v="81.900000000000006"/>
    <n v="12.8"/>
    <n v="24.5"/>
    <n v="36991981"/>
  </r>
  <r>
    <n v="445"/>
    <x v="417"/>
    <x v="15"/>
    <x v="19"/>
    <x v="0"/>
    <x v="66"/>
    <s v="Real estate, investments"/>
    <x v="15"/>
    <x v="0"/>
    <x v="0"/>
    <s v="Lundberg"/>
    <s v="Fredrik"/>
    <x v="166"/>
    <x v="50"/>
    <n v="1951"/>
    <n v="8"/>
    <n v="5"/>
    <n v="110.51"/>
    <n v="530832908738"/>
    <n v="82.5"/>
    <n v="27.9"/>
    <n v="49.1"/>
    <n v="10285453"/>
  </r>
  <r>
    <n v="445"/>
    <x v="418"/>
    <x v="16"/>
    <x v="8"/>
    <x v="0"/>
    <x v="200"/>
    <s v="Cement"/>
    <x v="16"/>
    <x v="0"/>
    <x v="0"/>
    <s v="Schmidheiny"/>
    <s v="Thomas"/>
    <x v="166"/>
    <x v="21"/>
    <n v="1945"/>
    <n v="12"/>
    <n v="17"/>
    <n v="99.55"/>
    <n v="703082435360"/>
    <n v="83.6"/>
    <n v="10.1"/>
    <n v="28.8"/>
    <n v="8574832"/>
  </r>
  <r>
    <n v="445"/>
    <x v="419"/>
    <x v="3"/>
    <x v="1"/>
    <x v="1"/>
    <x v="5"/>
    <s v="Investments"/>
    <x v="3"/>
    <x v="0"/>
    <x v="0"/>
    <s v="Ziff"/>
    <s v="Daniel"/>
    <x v="166"/>
    <x v="1"/>
    <n v="1971"/>
    <n v="11"/>
    <n v="2"/>
    <n v="117.24"/>
    <n v="21427700000000"/>
    <n v="78.5"/>
    <n v="9.6"/>
    <n v="36.6"/>
    <n v="328239523"/>
  </r>
  <r>
    <n v="445"/>
    <x v="420"/>
    <x v="3"/>
    <x v="1"/>
    <x v="1"/>
    <x v="201"/>
    <s v="Investments"/>
    <x v="3"/>
    <x v="0"/>
    <x v="0"/>
    <s v="Ziff"/>
    <s v="Dirk"/>
    <x v="166"/>
    <x v="2"/>
    <n v="1964"/>
    <n v="4"/>
    <n v="1"/>
    <n v="117.24"/>
    <n v="21427700000000"/>
    <n v="78.5"/>
    <n v="9.6"/>
    <n v="36.6"/>
    <n v="328239523"/>
  </r>
  <r>
    <n v="445"/>
    <x v="421"/>
    <x v="3"/>
    <x v="1"/>
    <x v="1"/>
    <x v="5"/>
    <s v="Investments"/>
    <x v="3"/>
    <x v="0"/>
    <x v="0"/>
    <s v="Ziff"/>
    <s v="Robert"/>
    <x v="166"/>
    <x v="30"/>
    <n v="1966"/>
    <n v="8"/>
    <n v="12"/>
    <n v="117.24"/>
    <n v="21427700000000"/>
    <n v="78.5"/>
    <n v="9.6"/>
    <n v="36.6"/>
    <n v="328239523"/>
  </r>
  <r>
    <n v="455"/>
    <x v="422"/>
    <x v="12"/>
    <x v="1"/>
    <x v="1"/>
    <x v="76"/>
    <s v="Oil, real estate"/>
    <x v="12"/>
    <x v="0"/>
    <x v="0"/>
    <s v="Hunt"/>
    <s v="Ray Lee"/>
    <x v="167"/>
    <x v="53"/>
    <n v="1943"/>
    <n v="4"/>
    <n v="6"/>
    <n v="117.24"/>
    <n v="21427700000000"/>
    <n v="78.5"/>
    <n v="9.6"/>
    <n v="36.6"/>
    <n v="328239523"/>
  </r>
  <r>
    <n v="455"/>
    <x v="423"/>
    <x v="8"/>
    <x v="5"/>
    <x v="2"/>
    <x v="33"/>
    <s v="Package delivery"/>
    <x v="8"/>
    <x v="1"/>
    <x v="0"/>
    <s v="Lai"/>
    <s v="Meisong"/>
    <x v="167"/>
    <x v="31"/>
    <n v="1970"/>
    <n v="12"/>
    <n v="1"/>
    <n v="125.08"/>
    <n v="19910000000000"/>
    <n v="77"/>
    <n v="9.4"/>
    <n v="59.2"/>
    <n v="1397715000"/>
  </r>
  <r>
    <n v="455"/>
    <x v="424"/>
    <x v="1"/>
    <x v="3"/>
    <x v="2"/>
    <x v="39"/>
    <s v="Motorcycles"/>
    <x v="1"/>
    <x v="0"/>
    <x v="0"/>
    <s v="Lal"/>
    <s v="Vikram"/>
    <x v="167"/>
    <x v="6"/>
    <n v="1942"/>
    <n v="3"/>
    <n v="5"/>
    <n v="180.44"/>
    <n v="2611000000000"/>
    <n v="69.400000000000006"/>
    <n v="11.2"/>
    <n v="49.7"/>
    <n v="1366417754"/>
  </r>
  <r>
    <n v="455"/>
    <x v="425"/>
    <x v="3"/>
    <x v="1"/>
    <x v="1"/>
    <x v="202"/>
    <s v="Investments"/>
    <x v="3"/>
    <x v="1"/>
    <x v="0"/>
    <s v="Langone"/>
    <s v="Ken"/>
    <x v="167"/>
    <x v="11"/>
    <n v="1935"/>
    <n v="9"/>
    <n v="16"/>
    <n v="117.24"/>
    <n v="21427700000000"/>
    <n v="78.5"/>
    <n v="9.6"/>
    <n v="36.6"/>
    <n v="328239523"/>
  </r>
  <r>
    <n v="455"/>
    <x v="426"/>
    <x v="13"/>
    <x v="5"/>
    <x v="2"/>
    <x v="33"/>
    <s v="Pharmaceutical ingredients"/>
    <x v="13"/>
    <x v="1"/>
    <x v="0"/>
    <s v="Li"/>
    <s v="Ge"/>
    <x v="167"/>
    <x v="30"/>
    <n v="1967"/>
    <n v="1"/>
    <n v="1"/>
    <n v="125.08"/>
    <n v="19910000000000"/>
    <n v="77"/>
    <n v="9.4"/>
    <n v="59.2"/>
    <n v="1397715000"/>
  </r>
  <r>
    <n v="455"/>
    <x v="427"/>
    <x v="3"/>
    <x v="1"/>
    <x v="1"/>
    <x v="203"/>
    <s v="Hotels, investments"/>
    <x v="3"/>
    <x v="0"/>
    <x v="1"/>
    <s v="Pritzker"/>
    <s v="Karen"/>
    <x v="167"/>
    <x v="8"/>
    <n v="1958"/>
    <n v="1"/>
    <n v="7"/>
    <n v="117.24"/>
    <n v="21427700000000"/>
    <n v="78.5"/>
    <n v="9.6"/>
    <n v="36.6"/>
    <n v="328239523"/>
  </r>
  <r>
    <n v="455"/>
    <x v="428"/>
    <x v="14"/>
    <x v="1"/>
    <x v="1"/>
    <x v="76"/>
    <s v="Hotels, investments"/>
    <x v="14"/>
    <x v="0"/>
    <x v="0"/>
    <s v="Rowling"/>
    <s v="Robert"/>
    <x v="167"/>
    <x v="9"/>
    <n v="1953"/>
    <n v="9"/>
    <n v="26"/>
    <n v="117.24"/>
    <n v="21427700000000"/>
    <n v="78.5"/>
    <n v="9.6"/>
    <n v="36.6"/>
    <n v="328239523"/>
  </r>
  <r>
    <n v="455"/>
    <x v="429"/>
    <x v="9"/>
    <x v="23"/>
    <x v="0"/>
    <x v="190"/>
    <s v="Gambling software"/>
    <x v="9"/>
    <x v="1"/>
    <x v="0"/>
    <s v="Sagi"/>
    <s v="Teddy"/>
    <x v="167"/>
    <x v="1"/>
    <n v="1971"/>
    <n v="11"/>
    <n v="1"/>
    <n v="108.15"/>
    <n v="395098666122"/>
    <n v="82.8"/>
    <n v="23.1"/>
    <n v="25.3"/>
    <n v="9053300"/>
  </r>
  <r>
    <n v="455"/>
    <x v="430"/>
    <x v="13"/>
    <x v="28"/>
    <x v="2"/>
    <x v="105"/>
    <s v="Biotech"/>
    <x v="13"/>
    <x v="1"/>
    <x v="0"/>
    <s v="Seo"/>
    <s v="Jung-jin"/>
    <x v="167"/>
    <x v="8"/>
    <n v="1957"/>
    <n v="10"/>
    <n v="23"/>
    <n v="115.16"/>
    <n v="2029000000000"/>
    <n v="82.6"/>
    <n v="15.6"/>
    <n v="33.200000000000003"/>
    <n v="51709098"/>
  </r>
  <r>
    <n v="455"/>
    <x v="431"/>
    <x v="1"/>
    <x v="5"/>
    <x v="2"/>
    <x v="110"/>
    <s v="Auto parts"/>
    <x v="1"/>
    <x v="1"/>
    <x v="0"/>
    <s v="Wu"/>
    <s v="Jianshu"/>
    <x v="167"/>
    <x v="2"/>
    <n v="1964"/>
    <n v="1"/>
    <n v="1"/>
    <n v="125.08"/>
    <n v="19910000000000"/>
    <n v="77"/>
    <n v="9.4"/>
    <n v="59.2"/>
    <n v="1397715000"/>
  </r>
  <r>
    <n v="466"/>
    <x v="432"/>
    <x v="14"/>
    <x v="1"/>
    <x v="1"/>
    <x v="204"/>
    <s v="Carnival Cruises"/>
    <x v="14"/>
    <x v="0"/>
    <x v="0"/>
    <s v="Arison"/>
    <s v="Micky"/>
    <x v="168"/>
    <x v="16"/>
    <n v="1949"/>
    <n v="6"/>
    <n v="29"/>
    <n v="117.24"/>
    <n v="21427700000000"/>
    <n v="78.5"/>
    <n v="9.6"/>
    <n v="36.6"/>
    <n v="328239523"/>
  </r>
  <r>
    <n v="466"/>
    <x v="433"/>
    <x v="4"/>
    <x v="1"/>
    <x v="1"/>
    <x v="205"/>
    <s v="Media, automotive"/>
    <x v="4"/>
    <x v="0"/>
    <x v="0"/>
    <s v="Chambers"/>
    <s v="James"/>
    <x v="168"/>
    <x v="8"/>
    <n v="1957"/>
    <n v="4"/>
    <n v="12"/>
    <n v="117.24"/>
    <n v="21427700000000"/>
    <n v="78.5"/>
    <n v="9.6"/>
    <n v="36.6"/>
    <n v="328239523"/>
  </r>
  <r>
    <n v="466"/>
    <x v="434"/>
    <x v="2"/>
    <x v="1"/>
    <x v="1"/>
    <x v="116"/>
    <s v="Payments software"/>
    <x v="2"/>
    <x v="1"/>
    <x v="0"/>
    <s v="Collison"/>
    <s v="John"/>
    <x v="168"/>
    <x v="60"/>
    <n v="1990"/>
    <n v="8"/>
    <n v="6"/>
    <n v="117.24"/>
    <n v="21427700000000"/>
    <n v="78.5"/>
    <n v="9.6"/>
    <n v="36.6"/>
    <n v="328239523"/>
  </r>
  <r>
    <n v="466"/>
    <x v="435"/>
    <x v="2"/>
    <x v="1"/>
    <x v="1"/>
    <x v="116"/>
    <s v="Payment software"/>
    <x v="2"/>
    <x v="1"/>
    <x v="0"/>
    <s v="Collison"/>
    <s v="Patrick"/>
    <x v="168"/>
    <x v="61"/>
    <n v="1988"/>
    <n v="9"/>
    <n v="9"/>
    <n v="117.24"/>
    <n v="21427700000000"/>
    <n v="78.5"/>
    <n v="9.6"/>
    <n v="36.6"/>
    <n v="328239523"/>
  </r>
  <r>
    <n v="466"/>
    <x v="436"/>
    <x v="10"/>
    <x v="1"/>
    <x v="1"/>
    <x v="206"/>
    <s v="Timberland, lumber mills"/>
    <x v="10"/>
    <x v="1"/>
    <x v="0"/>
    <s v="Emmerson"/>
    <s v="Archie Aldis"/>
    <x v="168"/>
    <x v="46"/>
    <n v="1929"/>
    <n v="4"/>
    <n v="10"/>
    <n v="117.24"/>
    <n v="21427700000000"/>
    <n v="78.5"/>
    <n v="9.6"/>
    <n v="36.6"/>
    <n v="328239523"/>
  </r>
  <r>
    <n v="466"/>
    <x v="437"/>
    <x v="1"/>
    <x v="24"/>
    <x v="0"/>
    <x v="207"/>
    <s v="Automobiles"/>
    <x v="1"/>
    <x v="0"/>
    <x v="0"/>
    <s v="Ferrari"/>
    <s v="Piero"/>
    <x v="168"/>
    <x v="21"/>
    <n v="1945"/>
    <n v="5"/>
    <n v="22"/>
    <n v="110.62"/>
    <n v="2001244392042"/>
    <n v="82.9"/>
    <n v="24.3"/>
    <n v="59.1"/>
    <n v="60297396"/>
  </r>
  <r>
    <n v="466"/>
    <x v="438"/>
    <x v="1"/>
    <x v="1"/>
    <x v="1"/>
    <x v="98"/>
    <s v="Toyota dealerships"/>
    <x v="1"/>
    <x v="0"/>
    <x v="0"/>
    <s v="Friedkin"/>
    <s v="Dan"/>
    <x v="168"/>
    <x v="17"/>
    <n v="1965"/>
    <n v="2"/>
    <n v="27"/>
    <n v="117.24"/>
    <n v="21427700000000"/>
    <n v="78.5"/>
    <n v="9.6"/>
    <n v="36.6"/>
    <n v="328239523"/>
  </r>
  <r>
    <n v="466"/>
    <x v="439"/>
    <x v="6"/>
    <x v="6"/>
    <x v="1"/>
    <x v="199"/>
    <s v="Diversified"/>
    <x v="6"/>
    <x v="0"/>
    <x v="0"/>
    <s v="Irving"/>
    <s v="James"/>
    <x v="168"/>
    <x v="43"/>
    <n v="1928"/>
    <n v="3"/>
    <n v="20"/>
    <n v="116.76"/>
    <n v="1736425629520"/>
    <n v="81.900000000000006"/>
    <n v="12.8"/>
    <n v="24.5"/>
    <n v="36991981"/>
  </r>
  <r>
    <n v="466"/>
    <x v="440"/>
    <x v="10"/>
    <x v="5"/>
    <x v="2"/>
    <x v="86"/>
    <s v="Chemicals"/>
    <x v="10"/>
    <x v="1"/>
    <x v="0"/>
    <s v="Jiang"/>
    <s v="Weiping"/>
    <x v="168"/>
    <x v="13"/>
    <n v="1955"/>
    <n v="3"/>
    <n v="1"/>
    <n v="125.08"/>
    <n v="19910000000000"/>
    <n v="77"/>
    <n v="9.4"/>
    <n v="59.2"/>
    <n v="1397715000"/>
  </r>
  <r>
    <n v="466"/>
    <x v="441"/>
    <x v="13"/>
    <x v="7"/>
    <x v="0"/>
    <x v="131"/>
    <s v="Pharmaceuticals"/>
    <x v="13"/>
    <x v="1"/>
    <x v="0"/>
    <s v="Marguerre"/>
    <s v="Wolfgang"/>
    <x v="168"/>
    <x v="6"/>
    <n v="1941"/>
    <n v="6"/>
    <n v="4"/>
    <n v="112.85"/>
    <n v="3845630030824"/>
    <n v="80.900000000000006"/>
    <n v="11.5"/>
    <n v="48.8"/>
    <n v="83132799"/>
  </r>
  <r>
    <n v="466"/>
    <x v="442"/>
    <x v="3"/>
    <x v="7"/>
    <x v="0"/>
    <x v="208"/>
    <s v="Pharmaceuticals"/>
    <x v="3"/>
    <x v="0"/>
    <x v="0"/>
    <s v="Merckle"/>
    <s v="Ludwig"/>
    <x v="168"/>
    <x v="17"/>
    <n v="1965"/>
    <n v="1"/>
    <n v="1"/>
    <n v="112.85"/>
    <n v="3845630030824"/>
    <n v="80.900000000000006"/>
    <n v="11.5"/>
    <n v="48.8"/>
    <n v="83132799"/>
  </r>
  <r>
    <n v="466"/>
    <x v="443"/>
    <x v="10"/>
    <x v="1"/>
    <x v="1"/>
    <x v="209"/>
    <s v="Manufacturing, investments"/>
    <x v="10"/>
    <x v="1"/>
    <x v="0"/>
    <s v="Rales"/>
    <s v="Mitchell"/>
    <x v="168"/>
    <x v="35"/>
    <n v="1956"/>
    <n v="8"/>
    <n v="21"/>
    <n v="117.24"/>
    <n v="21427700000000"/>
    <n v="78.5"/>
    <n v="9.6"/>
    <n v="36.6"/>
    <n v="328239523"/>
  </r>
  <r>
    <n v="466"/>
    <x v="444"/>
    <x v="4"/>
    <x v="1"/>
    <x v="1"/>
    <x v="210"/>
    <s v="Media, automotive"/>
    <x v="4"/>
    <x v="0"/>
    <x v="1"/>
    <s v="Rayner"/>
    <s v="Katharine"/>
    <x v="168"/>
    <x v="3"/>
    <n v="1945"/>
    <n v="1"/>
    <n v="12"/>
    <n v="117.24"/>
    <n v="21427700000000"/>
    <n v="78.5"/>
    <n v="9.6"/>
    <n v="36.6"/>
    <n v="328239523"/>
  </r>
  <r>
    <n v="466"/>
    <x v="445"/>
    <x v="3"/>
    <x v="1"/>
    <x v="1"/>
    <x v="5"/>
    <s v="Hedge funds"/>
    <x v="3"/>
    <x v="1"/>
    <x v="0"/>
    <s v="Singer"/>
    <s v="Paul"/>
    <x v="168"/>
    <x v="3"/>
    <n v="1944"/>
    <n v="8"/>
    <n v="22"/>
    <n v="117.24"/>
    <n v="21427700000000"/>
    <n v="78.5"/>
    <n v="9.6"/>
    <n v="36.6"/>
    <n v="328239523"/>
  </r>
  <r>
    <n v="466"/>
    <x v="446"/>
    <x v="13"/>
    <x v="24"/>
    <x v="0"/>
    <x v="211"/>
    <s v="Medical packaging"/>
    <x v="13"/>
    <x v="1"/>
    <x v="0"/>
    <s v="Stevanato"/>
    <s v="Sergio"/>
    <x v="168"/>
    <x v="33"/>
    <n v="1943"/>
    <n v="3"/>
    <n v="20"/>
    <n v="110.62"/>
    <n v="2001244392042"/>
    <n v="82.9"/>
    <n v="24.3"/>
    <n v="59.1"/>
    <n v="60297396"/>
  </r>
  <r>
    <n v="466"/>
    <x v="447"/>
    <x v="4"/>
    <x v="1"/>
    <x v="1"/>
    <x v="212"/>
    <s v="Media, automotive"/>
    <x v="4"/>
    <x v="0"/>
    <x v="1"/>
    <s v="Taylor"/>
    <s v="Margaretta"/>
    <x v="168"/>
    <x v="33"/>
    <n v="1942"/>
    <n v="4"/>
    <n v="15"/>
    <n v="117.24"/>
    <n v="21427700000000"/>
    <n v="78.5"/>
    <n v="9.6"/>
    <n v="36.6"/>
    <n v="328239523"/>
  </r>
  <r>
    <n v="466"/>
    <x v="448"/>
    <x v="2"/>
    <x v="13"/>
    <x v="2"/>
    <x v="79"/>
    <s v="Software"/>
    <x v="2"/>
    <x v="1"/>
    <x v="0"/>
    <s v="White"/>
    <s v="Richard"/>
    <x v="168"/>
    <x v="13"/>
    <n v="1955"/>
    <n v="4"/>
    <n v="1"/>
    <n v="119.8"/>
    <n v="1392680589329"/>
    <n v="82.7"/>
    <n v="23"/>
    <n v="47.4"/>
    <n v="25766605"/>
  </r>
  <r>
    <n v="466"/>
    <x v="449"/>
    <x v="6"/>
    <x v="5"/>
    <x v="2"/>
    <x v="19"/>
    <s v="Biotech"/>
    <x v="6"/>
    <x v="1"/>
    <x v="1"/>
    <s v="Zhao"/>
    <s v="Yan"/>
    <x v="168"/>
    <x v="30"/>
    <n v="1967"/>
    <n v="1"/>
    <n v="1"/>
    <n v="125.08"/>
    <n v="19910000000000"/>
    <n v="77"/>
    <n v="9.4"/>
    <n v="59.2"/>
    <n v="1397715000"/>
  </r>
  <r>
    <n v="486"/>
    <x v="450"/>
    <x v="0"/>
    <x v="24"/>
    <x v="0"/>
    <x v="91"/>
    <s v="Luxury goods"/>
    <x v="0"/>
    <x v="1"/>
    <x v="0"/>
    <s v="Bertelli"/>
    <s v="Patrizio"/>
    <x v="169"/>
    <x v="21"/>
    <n v="1946"/>
    <n v="1"/>
    <n v="1"/>
    <n v="110.62"/>
    <n v="2001244392042"/>
    <n v="82.9"/>
    <n v="24.3"/>
    <n v="59.1"/>
    <n v="60297396"/>
  </r>
  <r>
    <n v="486"/>
    <x v="451"/>
    <x v="10"/>
    <x v="3"/>
    <x v="2"/>
    <x v="7"/>
    <s v="Paints"/>
    <x v="10"/>
    <x v="0"/>
    <x v="0"/>
    <s v="Choksi"/>
    <s v="Mahendra"/>
    <x v="169"/>
    <x v="6"/>
    <n v="1941"/>
    <n v="4"/>
    <n v="19"/>
    <n v="180.44"/>
    <n v="2611000000000"/>
    <n v="69.400000000000006"/>
    <n v="11.2"/>
    <n v="49.7"/>
    <n v="1366417754"/>
  </r>
  <r>
    <n v="486"/>
    <x v="452"/>
    <x v="3"/>
    <x v="1"/>
    <x v="1"/>
    <x v="213"/>
    <s v="Mortgage lender"/>
    <x v="3"/>
    <x v="0"/>
    <x v="0"/>
    <s v="Ishbia"/>
    <s v="Mat"/>
    <x v="169"/>
    <x v="26"/>
    <n v="1980"/>
    <n v="1"/>
    <n v="6"/>
    <n v="117.24"/>
    <n v="21427700000000"/>
    <n v="78.5"/>
    <n v="9.6"/>
    <n v="36.6"/>
    <n v="328239523"/>
  </r>
  <r>
    <n v="486"/>
    <x v="453"/>
    <x v="2"/>
    <x v="21"/>
    <x v="2"/>
    <x v="72"/>
    <s v="IT provider"/>
    <x v="2"/>
    <x v="1"/>
    <x v="0"/>
    <s v="Koguan"/>
    <s v="Leo"/>
    <x v="169"/>
    <x v="13"/>
    <n v="1955"/>
    <n v="2"/>
    <n v="15"/>
    <n v="114.41"/>
    <n v="372062527489"/>
    <n v="83.1"/>
    <n v="13.1"/>
    <n v="21"/>
    <n v="5703569"/>
  </r>
  <r>
    <n v="486"/>
    <x v="454"/>
    <x v="6"/>
    <x v="5"/>
    <x v="2"/>
    <x v="214"/>
    <s v="Textiles, petrochemicals"/>
    <x v="6"/>
    <x v="1"/>
    <x v="0"/>
    <s v="Miao"/>
    <s v="Hangen"/>
    <x v="169"/>
    <x v="17"/>
    <n v="1965"/>
    <n v="1"/>
    <n v="1"/>
    <n v="125.08"/>
    <n v="19910000000000"/>
    <n v="77"/>
    <n v="9.4"/>
    <n v="59.2"/>
    <n v="1397715000"/>
  </r>
  <r>
    <n v="486"/>
    <x v="455"/>
    <x v="10"/>
    <x v="8"/>
    <x v="0"/>
    <x v="215"/>
    <s v="Kitchen appliances"/>
    <x v="10"/>
    <x v="1"/>
    <x v="0"/>
    <s v="Pieper"/>
    <s v="Michael"/>
    <x v="169"/>
    <x v="21"/>
    <n v="1946"/>
    <n v="2"/>
    <n v="5"/>
    <n v="99.55"/>
    <n v="703082435360"/>
    <n v="83.6"/>
    <n v="10.1"/>
    <n v="28.8"/>
    <n v="8574832"/>
  </r>
  <r>
    <n v="486"/>
    <x v="456"/>
    <x v="0"/>
    <x v="24"/>
    <x v="0"/>
    <x v="91"/>
    <s v="Luxury goods"/>
    <x v="0"/>
    <x v="0"/>
    <x v="1"/>
    <s v="Prada"/>
    <s v="Miuccia"/>
    <x v="169"/>
    <x v="16"/>
    <n v="1949"/>
    <n v="5"/>
    <n v="10"/>
    <n v="110.62"/>
    <n v="2001244392042"/>
    <n v="82.9"/>
    <n v="24.3"/>
    <n v="59.1"/>
    <n v="60297396"/>
  </r>
  <r>
    <n v="486"/>
    <x v="457"/>
    <x v="0"/>
    <x v="7"/>
    <x v="0"/>
    <x v="216"/>
    <s v="Consumer goods"/>
    <x v="0"/>
    <x v="0"/>
    <x v="0"/>
    <s v="Reimann"/>
    <s v="Wolfgang"/>
    <x v="169"/>
    <x v="34"/>
    <n v="1952"/>
    <n v="10"/>
    <n v="4"/>
    <n v="112.85"/>
    <n v="3845630030824"/>
    <n v="80.900000000000006"/>
    <n v="11.5"/>
    <n v="48.8"/>
    <n v="83132799"/>
  </r>
  <r>
    <n v="486"/>
    <x v="458"/>
    <x v="0"/>
    <x v="7"/>
    <x v="0"/>
    <x v="182"/>
    <s v="Consumer goods"/>
    <x v="0"/>
    <x v="0"/>
    <x v="0"/>
    <s v="Reimann-Andersen"/>
    <s v="Matthias"/>
    <x v="169"/>
    <x v="17"/>
    <n v="1965"/>
    <n v="3"/>
    <n v="30"/>
    <n v="112.85"/>
    <n v="3845630030824"/>
    <n v="80.900000000000006"/>
    <n v="11.5"/>
    <n v="48.8"/>
    <n v="83132799"/>
  </r>
  <r>
    <n v="486"/>
    <x v="459"/>
    <x v="0"/>
    <x v="10"/>
    <x v="0"/>
    <x v="145"/>
    <s v="Consumer goods"/>
    <x v="0"/>
    <x v="0"/>
    <x v="0"/>
    <s v="Reimann-Andersen"/>
    <s v="Stefan"/>
    <x v="169"/>
    <x v="2"/>
    <n v="1963"/>
    <n v="7"/>
    <n v="13"/>
    <n v="118.06"/>
    <n v="446314739528"/>
    <n v="81.599999999999994"/>
    <n v="25.4"/>
    <n v="51.4"/>
    <n v="8877067"/>
  </r>
  <r>
    <n v="486"/>
    <x v="460"/>
    <x v="0"/>
    <x v="10"/>
    <x v="0"/>
    <x v="145"/>
    <s v="Consumer goods"/>
    <x v="0"/>
    <x v="0"/>
    <x v="1"/>
    <s v="Reimann-Haas"/>
    <s v="Renate"/>
    <x v="169"/>
    <x v="50"/>
    <n v="1951"/>
    <n v="10"/>
    <n v="8"/>
    <n v="118.06"/>
    <n v="446314739528"/>
    <n v="81.599999999999994"/>
    <n v="25.4"/>
    <n v="51.4"/>
    <n v="8877067"/>
  </r>
  <r>
    <n v="497"/>
    <x v="461"/>
    <x v="3"/>
    <x v="1"/>
    <x v="1"/>
    <x v="196"/>
    <s v="Finance"/>
    <x v="3"/>
    <x v="1"/>
    <x v="0"/>
    <s v="Boehly"/>
    <s v="Todd"/>
    <x v="170"/>
    <x v="12"/>
    <n v="1973"/>
    <n v="9"/>
    <n v="20"/>
    <n v="117.24"/>
    <n v="21427700000000"/>
    <n v="78.5"/>
    <n v="9.6"/>
    <n v="36.6"/>
    <n v="328239523"/>
  </r>
  <r>
    <n v="497"/>
    <x v="462"/>
    <x v="15"/>
    <x v="1"/>
    <x v="1"/>
    <x v="111"/>
    <s v="Real estate"/>
    <x v="15"/>
    <x v="1"/>
    <x v="0"/>
    <s v="Caruso"/>
    <s v="Rick"/>
    <x v="170"/>
    <x v="27"/>
    <n v="1959"/>
    <n v="1"/>
    <n v="7"/>
    <n v="117.24"/>
    <n v="21427700000000"/>
    <n v="78.5"/>
    <n v="9.6"/>
    <n v="36.6"/>
    <n v="328239523"/>
  </r>
  <r>
    <n v="497"/>
    <x v="463"/>
    <x v="10"/>
    <x v="38"/>
    <x v="0"/>
    <x v="217"/>
    <s v="Carpet"/>
    <x v="10"/>
    <x v="1"/>
    <x v="0"/>
    <s v="Erdemoglu"/>
    <s v="Ibrahim"/>
    <x v="170"/>
    <x v="15"/>
    <n v="1962"/>
    <n v="9"/>
    <n v="26"/>
    <n v="234.44"/>
    <n v="754411708203"/>
    <n v="77.400000000000006"/>
    <n v="17.899999999999999"/>
    <n v="42.3"/>
    <n v="83429615"/>
  </r>
  <r>
    <n v="497"/>
    <x v="464"/>
    <x v="3"/>
    <x v="1"/>
    <x v="1"/>
    <x v="169"/>
    <s v="Fidelity"/>
    <x v="3"/>
    <x v="0"/>
    <x v="1"/>
    <s v="Johnson"/>
    <s v="Elizabeth"/>
    <x v="170"/>
    <x v="2"/>
    <n v="1963"/>
    <n v="5"/>
    <n v="7"/>
    <n v="117.24"/>
    <n v="21427700000000"/>
    <n v="78.5"/>
    <n v="9.6"/>
    <n v="36.6"/>
    <n v="328239523"/>
  </r>
  <r>
    <n v="497"/>
    <x v="465"/>
    <x v="3"/>
    <x v="1"/>
    <x v="1"/>
    <x v="67"/>
    <s v="Venture capital"/>
    <x v="3"/>
    <x v="1"/>
    <x v="0"/>
    <s v="Leone"/>
    <s v="Douglas"/>
    <x v="170"/>
    <x v="8"/>
    <n v="1957"/>
    <n v="7"/>
    <n v="4"/>
    <n v="117.24"/>
    <n v="21427700000000"/>
    <n v="78.5"/>
    <n v="9.6"/>
    <n v="36.6"/>
    <n v="328239523"/>
  </r>
  <r>
    <n v="497"/>
    <x v="466"/>
    <x v="6"/>
    <x v="14"/>
    <x v="2"/>
    <x v="40"/>
    <s v="Petrochemicals"/>
    <x v="6"/>
    <x v="0"/>
    <x v="0"/>
    <s v="Pangestu"/>
    <s v="Prajogo"/>
    <x v="170"/>
    <x v="3"/>
    <n v="1944"/>
    <n v="5"/>
    <n v="13"/>
    <n v="151.18"/>
    <n v="1119190780753"/>
    <n v="71.5"/>
    <n v="10.199999999999999"/>
    <n v="30.1"/>
    <n v="270203917"/>
  </r>
  <r>
    <n v="497"/>
    <x v="467"/>
    <x v="3"/>
    <x v="1"/>
    <x v="1"/>
    <x v="52"/>
    <s v="Hotels, investments"/>
    <x v="3"/>
    <x v="0"/>
    <x v="0"/>
    <s v="Pritzker"/>
    <s v="Thomas"/>
    <x v="170"/>
    <x v="24"/>
    <n v="1950"/>
    <n v="6"/>
    <n v="6"/>
    <n v="117.24"/>
    <n v="21427700000000"/>
    <n v="78.5"/>
    <n v="9.6"/>
    <n v="36.6"/>
    <n v="328239523"/>
  </r>
  <r>
    <n v="497"/>
    <x v="468"/>
    <x v="7"/>
    <x v="1"/>
    <x v="1"/>
    <x v="121"/>
    <s v="Agriculture"/>
    <x v="7"/>
    <x v="1"/>
    <x v="1"/>
    <s v="Resnick"/>
    <s v="Lynda"/>
    <x v="170"/>
    <x v="33"/>
    <n v="1943"/>
    <n v="1"/>
    <n v="2"/>
    <n v="117.24"/>
    <n v="21427700000000"/>
    <n v="78.5"/>
    <n v="9.6"/>
    <n v="36.6"/>
    <n v="328239523"/>
  </r>
  <r>
    <n v="497"/>
    <x v="469"/>
    <x v="7"/>
    <x v="1"/>
    <x v="1"/>
    <x v="121"/>
    <s v="Agriculture"/>
    <x v="7"/>
    <x v="1"/>
    <x v="0"/>
    <s v="Resnick"/>
    <s v="Stewart"/>
    <x v="170"/>
    <x v="20"/>
    <n v="1936"/>
    <n v="12"/>
    <n v="24"/>
    <n v="117.24"/>
    <n v="21427700000000"/>
    <n v="78.5"/>
    <n v="9.6"/>
    <n v="36.6"/>
    <n v="328239523"/>
  </r>
  <r>
    <n v="497"/>
    <x v="470"/>
    <x v="14"/>
    <x v="1"/>
    <x v="1"/>
    <x v="135"/>
    <s v="Pest control"/>
    <x v="14"/>
    <x v="0"/>
    <x v="0"/>
    <s v="Rollins"/>
    <s v="Gary"/>
    <x v="170"/>
    <x v="3"/>
    <n v="1944"/>
    <n v="8"/>
    <n v="30"/>
    <n v="117.24"/>
    <n v="21427700000000"/>
    <n v="78.5"/>
    <n v="9.6"/>
    <n v="36.6"/>
    <n v="328239523"/>
  </r>
  <r>
    <n v="497"/>
    <x v="471"/>
    <x v="3"/>
    <x v="1"/>
    <x v="1"/>
    <x v="52"/>
    <s v="Finance, asset management"/>
    <x v="3"/>
    <x v="1"/>
    <x v="0"/>
    <s v="Walter"/>
    <s v="Mark"/>
    <x v="170"/>
    <x v="32"/>
    <n v="1960"/>
    <n v="5"/>
    <n v="22"/>
    <n v="117.24"/>
    <n v="21427700000000"/>
    <n v="78.5"/>
    <n v="9.6"/>
    <n v="36.6"/>
    <n v="328239523"/>
  </r>
  <r>
    <n v="497"/>
    <x v="472"/>
    <x v="10"/>
    <x v="1"/>
    <x v="1"/>
    <x v="218"/>
    <s v="Furniture"/>
    <x v="10"/>
    <x v="1"/>
    <x v="0"/>
    <s v="Wanek"/>
    <s v="Ronald"/>
    <x v="170"/>
    <x v="6"/>
    <n v="1941"/>
    <n v="5"/>
    <n v="19"/>
    <n v="117.24"/>
    <n v="21427700000000"/>
    <n v="78.5"/>
    <n v="9.6"/>
    <n v="36.6"/>
    <n v="328239523"/>
  </r>
  <r>
    <n v="497"/>
    <x v="473"/>
    <x v="7"/>
    <x v="7"/>
    <x v="0"/>
    <x v="219"/>
    <s v="Poultry genetics"/>
    <x v="7"/>
    <x v="1"/>
    <x v="0"/>
    <s v="Wesjohann"/>
    <s v="Erich"/>
    <x v="170"/>
    <x v="21"/>
    <n v="1945"/>
    <n v="6"/>
    <n v="2"/>
    <n v="112.85"/>
    <n v="3845630030824"/>
    <n v="80.900000000000006"/>
    <n v="11.5"/>
    <n v="48.8"/>
    <n v="83132799"/>
  </r>
  <r>
    <n v="497"/>
    <x v="474"/>
    <x v="0"/>
    <x v="15"/>
    <x v="0"/>
    <x v="220"/>
    <s v="Retail"/>
    <x v="0"/>
    <x v="1"/>
    <x v="0"/>
    <s v="Yusuff Ali"/>
    <s v="M.A."/>
    <x v="170"/>
    <x v="5"/>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BD6188-ED26-4A03-AF3B-7E7CF504542B}"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5:C28" firstHeaderRow="1" firstDataRow="1" firstDataCol="1"/>
  <pivotFields count="23">
    <pivotField showAll="0"/>
    <pivotField showAll="0"/>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axis="axisRow" showAll="0">
      <items count="3">
        <item x="1"/>
        <item x="0"/>
        <item t="default"/>
      </items>
    </pivotField>
    <pivotField showAll="0"/>
    <pivotField showAll="0"/>
    <pivotField dataField="1" numFmtId="3"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numFmtId="3" showAll="0"/>
    <pivotField showAll="0"/>
    <pivotField showAll="0"/>
    <pivotField showAll="0"/>
    <pivotField numFmtId="3" showAll="0"/>
  </pivotFields>
  <rowFields count="1">
    <field x="9"/>
  </rowFields>
  <rowItems count="3">
    <i>
      <x/>
    </i>
    <i>
      <x v="1"/>
    </i>
    <i t="grand">
      <x/>
    </i>
  </rowItems>
  <colItems count="1">
    <i/>
  </colItems>
  <dataFields count="1">
    <dataField name="Sum of Finalworth" fld="12" baseField="0" baseItem="0"/>
  </dataFields>
  <formats count="2">
    <format dxfId="21">
      <pivotArea type="origin" dataOnly="0" labelOnly="1" outline="0"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3F1C70-62FA-46B4-B4A0-858241AC5995}"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F4" firstHeaderRow="1" firstDataRow="1" firstDataCol="0"/>
  <pivotFields count="23">
    <pivotField showAll="0"/>
    <pivotField showAll="0"/>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1579178354" numFmtId="2"/>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029D6-D263-45C4-B225-E841FA478ACE}"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B4" firstHeaderRow="1" firstDataRow="1" firstDataCol="0"/>
  <pivotFields count="23">
    <pivotField showAll="0"/>
    <pivotField dataField="1" showAll="0"/>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3">
        <item x="23"/>
        <item x="60"/>
        <item x="61"/>
        <item x="37"/>
        <item x="57"/>
        <item x="14"/>
        <item x="19"/>
        <item x="58"/>
        <item x="47"/>
        <item x="55"/>
        <item x="26"/>
        <item x="52"/>
        <item x="42"/>
        <item x="44"/>
        <item x="12"/>
        <item x="10"/>
        <item x="1"/>
        <item x="31"/>
        <item x="48"/>
        <item x="22"/>
        <item x="40"/>
        <item x="30"/>
        <item x="39"/>
        <item x="17"/>
        <item x="2"/>
        <item x="15"/>
        <item x="36"/>
        <item x="32"/>
        <item x="49"/>
        <item x="27"/>
        <item x="8"/>
        <item x="35"/>
        <item x="5"/>
        <item x="13"/>
        <item x="9"/>
        <item x="34"/>
        <item x="50"/>
        <item x="24"/>
        <item x="16"/>
        <item x="0"/>
        <item x="41"/>
        <item x="29"/>
        <item x="21"/>
        <item x="3"/>
        <item x="53"/>
        <item x="33"/>
        <item x="6"/>
        <item x="25"/>
        <item x="7"/>
        <item x="28"/>
        <item x="18"/>
        <item x="20"/>
        <item x="11"/>
        <item x="45"/>
        <item x="56"/>
        <item x="38"/>
        <item x="54"/>
        <item x="4"/>
        <item x="46"/>
        <item x="51"/>
        <item x="43"/>
        <item x="59"/>
        <item t="default"/>
      </items>
    </pivotField>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2AC730-D467-4B42-99CB-D3187A399775}" name="PivotTable8"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7">
  <location ref="B19:C23" firstHeaderRow="1" firstDataRow="1" firstDataCol="1"/>
  <pivotFields count="23">
    <pivotField subtotalTop="0" showAll="0"/>
    <pivotField subtotalTop="0"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ubtotalTop="0" showAll="0"/>
    <pivotField subtotalTop="0" showAll="0" measureFilter="1" sortType="ascending">
      <items count="40">
        <item x="1"/>
        <item x="12"/>
        <item x="15"/>
        <item x="37"/>
        <item x="38"/>
        <item x="20"/>
        <item x="8"/>
        <item x="19"/>
        <item x="4"/>
        <item x="28"/>
        <item x="25"/>
        <item x="21"/>
        <item x="16"/>
        <item x="36"/>
        <item x="30"/>
        <item x="31"/>
        <item x="22"/>
        <item x="29"/>
        <item x="35"/>
        <item x="2"/>
        <item x="27"/>
        <item x="11"/>
        <item x="24"/>
        <item x="23"/>
        <item x="14"/>
        <item x="3"/>
        <item x="7"/>
        <item x="0"/>
        <item x="32"/>
        <item x="33"/>
        <item x="18"/>
        <item x="34"/>
        <item x="5"/>
        <item x="17"/>
        <item x="6"/>
        <item x="26"/>
        <item x="9"/>
        <item x="10"/>
        <item x="13"/>
        <item t="default"/>
      </items>
      <autoSortScope>
        <pivotArea dataOnly="0" outline="0" fieldPosition="0">
          <references count="1">
            <reference field="4294967294" count="1" selected="0">
              <x v="0"/>
            </reference>
          </references>
        </pivotArea>
      </autoSortScope>
    </pivotField>
    <pivotField axis="axisRow" subtotalTop="0"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ubtotalTop="0" showAll="0"/>
    <pivotField subtotalTop="0" showAll="0"/>
    <pivotField subtotalTop="0" showAll="0"/>
    <pivotField subtotalTop="0" showAll="0">
      <items count="3">
        <item x="0"/>
        <item x="1"/>
        <item t="default"/>
      </items>
    </pivotField>
    <pivotField subtotalTop="0" showAll="0">
      <items count="3">
        <item x="1"/>
        <item x="0"/>
        <item t="default"/>
      </items>
    </pivotField>
    <pivotField subtotalTop="0" showAll="0"/>
    <pivotField subtotalTop="0" showAll="0"/>
    <pivotField dataField="1" numFmtId="3" subtotalTop="0"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ubtotalTop="0" showAll="0"/>
    <pivotField subtotalTop="0" showAll="0"/>
    <pivotField subtotalTop="0" showAll="0"/>
    <pivotField subtotalTop="0" showAll="0"/>
    <pivotField subtotalTop="0" showAll="0"/>
    <pivotField numFmtId="3" subtotalTop="0" showAll="0"/>
    <pivotField subtotalTop="0" showAll="0"/>
    <pivotField subtotalTop="0" showAll="0"/>
    <pivotField subtotalTop="0" showAll="0"/>
    <pivotField numFmtId="3" subtotalTop="0" showAll="0"/>
  </pivotFields>
  <rowFields count="1">
    <field x="4"/>
  </rowFields>
  <rowItems count="4">
    <i>
      <x v="3"/>
    </i>
    <i>
      <x v="1"/>
    </i>
    <i>
      <x/>
    </i>
    <i>
      <x v="2"/>
    </i>
  </rowItems>
  <colItems count="1">
    <i/>
  </colItems>
  <dataFields count="1">
    <dataField name="Sum of Finalworth" fld="12" baseField="0" baseItem="0" numFmtId="3"/>
  </dataFields>
  <formats count="1">
    <format dxfId="45">
      <pivotArea outline="0" collapsedLevelsAreSubtotals="1" fieldPosition="0"/>
    </format>
  </formats>
  <chartFormats count="5">
    <chartFormat chart="10" format="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195B1D-BBC4-428F-AA33-39C60CEA975D}" name="PivotTable4"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B6:D16" firstHeaderRow="0" firstDataRow="1" firstDataCol="1"/>
  <pivotFields count="23">
    <pivotField subtotalTop="0" showAll="0"/>
    <pivotField axis="axisRow" subtotalTop="0"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ubtotalTop="0" showAll="0"/>
    <pivotField subtotalTop="0"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ubtotalTop="0" showAll="0">
      <items count="5">
        <item x="2"/>
        <item x="0"/>
        <item x="3"/>
        <item x="1"/>
        <item t="default"/>
      </items>
    </pivotField>
    <pivotField subtotalTop="0" showAll="0"/>
    <pivotField subtotalTop="0" showAll="0"/>
    <pivotField subtotalTop="0" showAll="0"/>
    <pivotField subtotalTop="0" showAll="0">
      <items count="3">
        <item x="0"/>
        <item x="1"/>
        <item t="default"/>
      </items>
    </pivotField>
    <pivotField subtotalTop="0" showAll="0">
      <items count="3">
        <item x="1"/>
        <item x="0"/>
        <item t="default"/>
      </items>
    </pivotField>
    <pivotField subtotalTop="0" showAll="0"/>
    <pivotField subtotalTop="0" showAll="0"/>
    <pivotField dataField="1" numFmtId="3" subtotalTop="0"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ubtotalTop="0" showAll="0"/>
    <pivotField subtotalTop="0" showAll="0"/>
    <pivotField subtotalTop="0" showAll="0"/>
    <pivotField subtotalTop="0" showAll="0"/>
    <pivotField subtotalTop="0" showAll="0"/>
    <pivotField numFmtId="3" subtotalTop="0" showAll="0"/>
    <pivotField subtotalTop="0" showAll="0"/>
    <pivotField subtotalTop="0" showAll="0"/>
    <pivotField subtotalTop="0" showAll="0"/>
    <pivotField numFmtId="3" subtotalTop="0" showAll="0"/>
  </pivotFields>
  <rowFields count="1">
    <field x="1"/>
  </rowFields>
  <rowItems count="10">
    <i>
      <x v="38"/>
    </i>
    <i>
      <x v="106"/>
    </i>
    <i>
      <x v="178"/>
    </i>
    <i>
      <x v="228"/>
    </i>
    <i>
      <x v="451"/>
    </i>
    <i>
      <x v="40"/>
    </i>
    <i>
      <x v="284"/>
    </i>
    <i>
      <x v="51"/>
    </i>
    <i>
      <x v="304"/>
    </i>
    <i>
      <x v="400"/>
    </i>
  </rowItems>
  <colFields count="1">
    <field x="-2"/>
  </colFields>
  <colItems count="2">
    <i>
      <x/>
    </i>
    <i i="1">
      <x v="1"/>
    </i>
  </colItems>
  <dataFields count="2">
    <dataField name="Sum of Finalworth" fld="12" baseField="0" baseItem="0" numFmtId="3"/>
    <dataField name="Sum of Age" fld="13" baseField="0" baseItem="0"/>
  </dataFields>
  <formats count="1">
    <format dxfId="48">
      <pivotArea outline="0" collapsedLevelsAreSubtotals="1"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BB3A4B-56CE-4B7E-8A96-416B258A36C2}" name="PivotTable6"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F19:G21" firstHeaderRow="1" firstDataRow="1" firstDataCol="1"/>
  <pivotFields count="23">
    <pivotField subtotalTop="0" showAll="0"/>
    <pivotField subtotalTop="0"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ubtotalTop="0" showAll="0"/>
    <pivotField subtotalTop="0"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ubtotalTop="0" showAll="0">
      <items count="5">
        <item x="2"/>
        <item x="0"/>
        <item x="3"/>
        <item x="1"/>
        <item t="default"/>
      </items>
    </pivotField>
    <pivotField subtotalTop="0" showAll="0"/>
    <pivotField subtotalTop="0" showAll="0"/>
    <pivotField subtotalTop="0" showAll="0"/>
    <pivotField axis="axisRow" subtotalTop="0" showAll="0">
      <items count="3">
        <item x="0"/>
        <item x="1"/>
        <item t="default"/>
      </items>
    </pivotField>
    <pivotField subtotalTop="0" showAll="0">
      <items count="3">
        <item x="1"/>
        <item x="0"/>
        <item t="default"/>
      </items>
    </pivotField>
    <pivotField subtotalTop="0" showAll="0"/>
    <pivotField subtotalTop="0" showAll="0"/>
    <pivotField dataField="1" numFmtId="3" subtotalTop="0"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ubtotalTop="0" showAll="0"/>
    <pivotField subtotalTop="0" showAll="0"/>
    <pivotField subtotalTop="0" showAll="0"/>
    <pivotField subtotalTop="0" showAll="0"/>
    <pivotField subtotalTop="0" showAll="0"/>
    <pivotField numFmtId="3" subtotalTop="0" showAll="0"/>
    <pivotField subtotalTop="0" showAll="0"/>
    <pivotField subtotalTop="0" showAll="0"/>
    <pivotField subtotalTop="0" showAll="0"/>
    <pivotField numFmtId="3" subtotalTop="0" showAll="0"/>
  </pivotFields>
  <rowFields count="1">
    <field x="8"/>
  </rowFields>
  <rowItems count="2">
    <i>
      <x/>
    </i>
    <i>
      <x v="1"/>
    </i>
  </rowItems>
  <colItems count="1">
    <i/>
  </colItems>
  <dataFields count="1">
    <dataField name="Sum of Finalworth" fld="12" baseField="0" baseItem="0" numFmtId="3"/>
  </dataFields>
  <formats count="1">
    <format dxfId="49">
      <pivotArea outline="0" collapsedLevelsAreSubtotals="1" fieldPosition="0"/>
    </format>
  </formats>
  <chartFormats count="3">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8" count="1" selected="0">
            <x v="0"/>
          </reference>
        </references>
      </pivotArea>
    </chartFormat>
    <chartFormat chart="10" format="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1374C0-F950-4160-8DF4-B63B30A2D4B5}"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3">
    <pivotField showAll="0"/>
    <pivotField showAll="0"/>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1579178354" numFmtId="164"/>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78204C-FB05-4F29-8E02-5A50DD2C0CBF}" name="PivotTable5"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location ref="F6:G16" firstHeaderRow="1" firstDataRow="1" firstDataCol="1"/>
  <pivotFields count="23">
    <pivotField subtotalTop="0" showAll="0"/>
    <pivotField subtotalTop="0"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ubtotalTop="0" showAll="0"/>
    <pivotField axis="axisRow" subtotalTop="0" showAll="0" measureFilter="1" sortType="ascending">
      <items count="40">
        <item x="1"/>
        <item x="12"/>
        <item x="15"/>
        <item x="37"/>
        <item x="38"/>
        <item x="20"/>
        <item x="8"/>
        <item x="19"/>
        <item x="4"/>
        <item x="28"/>
        <item x="25"/>
        <item x="21"/>
        <item x="16"/>
        <item x="36"/>
        <item x="30"/>
        <item x="31"/>
        <item x="22"/>
        <item x="29"/>
        <item x="35"/>
        <item x="2"/>
        <item x="27"/>
        <item x="11"/>
        <item x="24"/>
        <item x="23"/>
        <item x="14"/>
        <item x="3"/>
        <item x="7"/>
        <item x="0"/>
        <item x="32"/>
        <item x="33"/>
        <item x="18"/>
        <item x="34"/>
        <item x="5"/>
        <item x="17"/>
        <item x="6"/>
        <item x="26"/>
        <item x="9"/>
        <item x="10"/>
        <item x="13"/>
        <item t="default"/>
      </items>
      <autoSortScope>
        <pivotArea dataOnly="0" outline="0" fieldPosition="0">
          <references count="1">
            <reference field="4294967294" count="1" selected="0">
              <x v="0"/>
            </reference>
          </references>
        </pivotArea>
      </autoSortScope>
    </pivotField>
    <pivotField subtotalTop="0" showAll="0">
      <items count="5">
        <item x="2"/>
        <item x="0"/>
        <item x="3"/>
        <item x="1"/>
        <item t="default"/>
      </items>
    </pivotField>
    <pivotField subtotalTop="0" showAll="0"/>
    <pivotField subtotalTop="0" showAll="0"/>
    <pivotField subtotalTop="0" showAll="0"/>
    <pivotField subtotalTop="0" showAll="0">
      <items count="3">
        <item x="0"/>
        <item x="1"/>
        <item t="default"/>
      </items>
    </pivotField>
    <pivotField subtotalTop="0" showAll="0">
      <items count="3">
        <item x="1"/>
        <item x="0"/>
        <item t="default"/>
      </items>
    </pivotField>
    <pivotField subtotalTop="0" showAll="0"/>
    <pivotField subtotalTop="0" showAll="0"/>
    <pivotField dataField="1" numFmtId="3" subtotalTop="0"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ubtotalTop="0" showAll="0"/>
    <pivotField subtotalTop="0" showAll="0"/>
    <pivotField subtotalTop="0" showAll="0"/>
    <pivotField subtotalTop="0" showAll="0"/>
    <pivotField subtotalTop="0" showAll="0"/>
    <pivotField numFmtId="3" subtotalTop="0" showAll="0"/>
    <pivotField subtotalTop="0" showAll="0"/>
    <pivotField subtotalTop="0" showAll="0"/>
    <pivotField subtotalTop="0" showAll="0"/>
    <pivotField numFmtId="3" subtotalTop="0" showAll="0"/>
  </pivotFields>
  <rowFields count="1">
    <field x="3"/>
  </rowFields>
  <rowItems count="10">
    <i>
      <x v="38"/>
    </i>
    <i>
      <x v="19"/>
    </i>
    <i>
      <x v="12"/>
    </i>
    <i>
      <x v="1"/>
    </i>
    <i>
      <x v="6"/>
    </i>
    <i>
      <x v="26"/>
    </i>
    <i>
      <x v="25"/>
    </i>
    <i>
      <x v="27"/>
    </i>
    <i>
      <x v="32"/>
    </i>
    <i>
      <x/>
    </i>
  </rowItems>
  <colItems count="1">
    <i/>
  </colItems>
  <dataFields count="1">
    <dataField name="Sum of Finalworth" fld="12" baseField="0" baseItem="0" numFmtId="3"/>
  </dataFields>
  <formats count="1">
    <format dxfId="50">
      <pivotArea outline="0" collapsedLevelsAreSubtotals="1" fieldPosition="0"/>
    </format>
  </formats>
  <chartFormats count="3">
    <chartFormat chart="10" format="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E2EE72-02B9-41A3-AA3C-0F067BB4057C}" name="PivotTable7"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I3:J21" firstHeaderRow="1" firstDataRow="1" firstDataCol="1"/>
  <pivotFields count="23">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3"/>
  </dataFields>
  <formats count="2">
    <format dxfId="52">
      <pivotArea collapsedLevelsAreSubtotals="1" fieldPosition="0">
        <references count="1">
          <reference field="2" count="1">
            <x v="1"/>
          </reference>
        </references>
      </pivotArea>
    </format>
    <format dxfId="5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DD15AF6-9C55-4F45-A2E3-C65F19238B5D}" sourceName="Gender">
  <pivotTables>
    <pivotTable tabId="4" name="PivotTable7"/>
    <pivotTable tabId="4" name="PivotTable1"/>
    <pivotTable tabId="4" name="PivotTable2"/>
    <pivotTable tabId="4" name="PivotTable3"/>
    <pivotTable tabId="4" name="PivotTable4"/>
    <pivotTable tabId="4" name="PivotTable6"/>
    <pivotTable tabId="4" name="PivotTable5"/>
    <pivotTable tabId="4" name="PivotTable8"/>
    <pivotTable tabId="4" name="PivotTable9"/>
  </pivotTables>
  <data>
    <tabular pivotCacheId="19077555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AEC90E-2AA5-4157-9001-5AE8261E6E88}" sourceName="Region">
  <pivotTables>
    <pivotTable tabId="4" name="PivotTable7"/>
    <pivotTable tabId="4" name="PivotTable1"/>
    <pivotTable tabId="4" name="PivotTable2"/>
    <pivotTable tabId="4" name="PivotTable3"/>
    <pivotTable tabId="4" name="PivotTable4"/>
    <pivotTable tabId="4" name="PivotTable5"/>
    <pivotTable tabId="4" name="PivotTable6"/>
    <pivotTable tabId="4" name="PivotTable8"/>
    <pivotTable tabId="4" name="PivotTable9"/>
  </pivotTables>
  <data>
    <tabular pivotCacheId="190775550">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A51161C-D17B-4C1D-9658-808A83634260}" cache="Slicer_Gender" caption="Gender" columnCount="2" style="SlicerStyleDark2" rowHeight="241300"/>
  <slicer name="Region" xr10:uid="{5E4A7819-D91B-46B5-850C-5C536952F92E}" cache="Slicer_Region" caption="Region" columnCount="2"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73191-F14E-44DE-B437-E02773595087}">
  <sheetPr codeName="Sheet1"/>
  <dimension ref="A1"/>
  <sheetViews>
    <sheetView showGridLines="0" tabSelected="1" zoomScale="69" zoomScaleNormal="69" workbookViewId="0">
      <selection activeCell="H30" sqref="H30"/>
    </sheetView>
  </sheetViews>
  <sheetFormatPr defaultRowHeight="14.5" x14ac:dyDescent="0.35"/>
  <cols>
    <col min="1" max="1" width="25.453125" customWidth="1"/>
    <col min="2" max="11" width="10.6328125" customWidth="1"/>
    <col min="14" max="14" width="0" hidden="1" customWidth="1"/>
    <col min="15" max="15" width="24.36328125" bestFit="1" customWidth="1"/>
    <col min="21" max="21" width="10.6328125" customWidth="1"/>
  </cols>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8EF5-F8ED-4FE7-8360-D811D0F1C5AF}">
  <sheetPr codeName="Sheet2"/>
  <dimension ref="B3:J28"/>
  <sheetViews>
    <sheetView showGridLines="0" topLeftCell="A2" zoomScale="64" zoomScaleNormal="64" workbookViewId="0">
      <selection activeCell="A34" sqref="A34"/>
    </sheetView>
  </sheetViews>
  <sheetFormatPr defaultRowHeight="14.5" x14ac:dyDescent="0.35"/>
  <cols>
    <col min="1" max="1" width="26.1796875" customWidth="1"/>
    <col min="2" max="2" width="13.08984375" bestFit="1" customWidth="1"/>
    <col min="3" max="3" width="16.36328125" bestFit="1" customWidth="1"/>
    <col min="4" max="5" width="5.54296875" bestFit="1" customWidth="1"/>
    <col min="6" max="6" width="7.6328125" customWidth="1"/>
    <col min="7" max="7" width="17.7265625" customWidth="1"/>
    <col min="8" max="8" width="5.54296875" bestFit="1" customWidth="1"/>
    <col min="9" max="9" width="15" bestFit="1" customWidth="1"/>
    <col min="10" max="10" width="16.26953125" bestFit="1" customWidth="1"/>
    <col min="11" max="48" width="5.54296875" bestFit="1" customWidth="1"/>
    <col min="49" max="167" width="6.54296875" bestFit="1" customWidth="1"/>
    <col min="168" max="173" width="7.54296875" bestFit="1" customWidth="1"/>
    <col min="174" max="174" width="10.7265625" bestFit="1" customWidth="1"/>
  </cols>
  <sheetData>
    <row r="3" spans="2:10" x14ac:dyDescent="0.35">
      <c r="B3" t="s">
        <v>1763</v>
      </c>
      <c r="C3" t="s">
        <v>1767</v>
      </c>
      <c r="F3" t="s">
        <v>1766</v>
      </c>
      <c r="I3" s="7" t="s">
        <v>1768</v>
      </c>
      <c r="J3" t="s">
        <v>1764</v>
      </c>
    </row>
    <row r="4" spans="2:10" x14ac:dyDescent="0.35">
      <c r="B4" s="6">
        <v>475</v>
      </c>
      <c r="C4" s="9">
        <v>14821.894736842105</v>
      </c>
      <c r="F4" s="8">
        <v>67.237894736842108</v>
      </c>
      <c r="I4" s="10" t="s">
        <v>1760</v>
      </c>
      <c r="J4" s="11">
        <v>33100</v>
      </c>
    </row>
    <row r="5" spans="2:10" x14ac:dyDescent="0.35">
      <c r="I5" s="10" t="s">
        <v>539</v>
      </c>
      <c r="J5" s="11">
        <v>50700</v>
      </c>
    </row>
    <row r="6" spans="2:10" x14ac:dyDescent="0.35">
      <c r="B6" s="7" t="s">
        <v>1768</v>
      </c>
      <c r="C6" t="s">
        <v>1764</v>
      </c>
      <c r="D6" t="s">
        <v>1765</v>
      </c>
      <c r="F6" s="7" t="s">
        <v>1768</v>
      </c>
      <c r="G6" t="s">
        <v>1764</v>
      </c>
      <c r="I6" s="10" t="s">
        <v>158</v>
      </c>
      <c r="J6" s="11">
        <v>62600</v>
      </c>
    </row>
    <row r="7" spans="2:10" x14ac:dyDescent="0.35">
      <c r="B7" s="10" t="s">
        <v>0</v>
      </c>
      <c r="C7" s="11">
        <v>211000</v>
      </c>
      <c r="D7" s="6">
        <v>74</v>
      </c>
      <c r="F7" s="10" t="s">
        <v>232</v>
      </c>
      <c r="G7" s="11">
        <v>105200</v>
      </c>
      <c r="I7" s="10" t="s">
        <v>335</v>
      </c>
      <c r="J7" s="11">
        <v>68500</v>
      </c>
    </row>
    <row r="8" spans="2:10" x14ac:dyDescent="0.35">
      <c r="B8" s="10" t="s">
        <v>7</v>
      </c>
      <c r="C8" s="11">
        <v>180000</v>
      </c>
      <c r="D8" s="6">
        <v>51</v>
      </c>
      <c r="F8" s="10" t="s">
        <v>42</v>
      </c>
      <c r="G8" s="11">
        <v>136700</v>
      </c>
      <c r="I8" s="10" t="s">
        <v>41</v>
      </c>
      <c r="J8" s="11">
        <v>129900</v>
      </c>
    </row>
    <row r="9" spans="2:10" x14ac:dyDescent="0.35">
      <c r="B9" s="10" t="s">
        <v>14</v>
      </c>
      <c r="C9" s="11">
        <v>114000</v>
      </c>
      <c r="D9" s="6">
        <v>59</v>
      </c>
      <c r="F9" s="10" t="s">
        <v>282</v>
      </c>
      <c r="G9" s="11">
        <v>219900</v>
      </c>
      <c r="I9" s="10" t="s">
        <v>132</v>
      </c>
      <c r="J9" s="11">
        <v>163900</v>
      </c>
    </row>
    <row r="10" spans="2:10" x14ac:dyDescent="0.35">
      <c r="B10" s="10" t="s">
        <v>20</v>
      </c>
      <c r="C10" s="11">
        <v>107000</v>
      </c>
      <c r="D10" s="6">
        <v>78</v>
      </c>
      <c r="F10" s="10" t="s">
        <v>185</v>
      </c>
      <c r="G10" s="11">
        <v>241700</v>
      </c>
      <c r="I10" s="10" t="s">
        <v>416</v>
      </c>
      <c r="J10" s="11">
        <v>194600</v>
      </c>
    </row>
    <row r="11" spans="2:10" x14ac:dyDescent="0.35">
      <c r="B11" s="10" t="s">
        <v>25</v>
      </c>
      <c r="C11" s="11">
        <v>106000</v>
      </c>
      <c r="D11" s="6">
        <v>92</v>
      </c>
      <c r="F11" s="10" t="s">
        <v>133</v>
      </c>
      <c r="G11" s="11">
        <v>244200</v>
      </c>
      <c r="I11" s="10" t="s">
        <v>36</v>
      </c>
      <c r="J11" s="11">
        <v>240900</v>
      </c>
    </row>
    <row r="12" spans="2:10" x14ac:dyDescent="0.35">
      <c r="B12" s="10" t="s">
        <v>31</v>
      </c>
      <c r="C12" s="11">
        <v>104000</v>
      </c>
      <c r="D12" s="6">
        <v>67</v>
      </c>
      <c r="F12" s="10" t="s">
        <v>122</v>
      </c>
      <c r="G12" s="11">
        <v>256200</v>
      </c>
      <c r="I12" s="10" t="s">
        <v>305</v>
      </c>
      <c r="J12" s="11">
        <v>263500</v>
      </c>
    </row>
    <row r="13" spans="2:10" x14ac:dyDescent="0.35">
      <c r="B13" s="10" t="s">
        <v>35</v>
      </c>
      <c r="C13" s="11">
        <v>94500</v>
      </c>
      <c r="D13" s="6">
        <v>81</v>
      </c>
      <c r="F13" s="10" t="s">
        <v>48</v>
      </c>
      <c r="G13" s="11">
        <v>333200</v>
      </c>
      <c r="I13" s="10" t="s">
        <v>250</v>
      </c>
      <c r="J13" s="11">
        <v>294600</v>
      </c>
    </row>
    <row r="14" spans="2:10" x14ac:dyDescent="0.35">
      <c r="B14" s="10" t="s">
        <v>1726</v>
      </c>
      <c r="C14" s="11">
        <v>93000</v>
      </c>
      <c r="D14" s="6">
        <v>83</v>
      </c>
      <c r="F14" s="10" t="s">
        <v>2</v>
      </c>
      <c r="G14" s="11">
        <v>451600</v>
      </c>
      <c r="I14" s="10" t="s">
        <v>231</v>
      </c>
      <c r="J14" s="11">
        <v>315300</v>
      </c>
    </row>
    <row r="15" spans="2:10" x14ac:dyDescent="0.35">
      <c r="B15" s="10" t="s">
        <v>46</v>
      </c>
      <c r="C15" s="11">
        <v>83400</v>
      </c>
      <c r="D15" s="6">
        <v>65</v>
      </c>
      <c r="F15" s="10" t="s">
        <v>76</v>
      </c>
      <c r="G15" s="11">
        <v>901700</v>
      </c>
      <c r="I15" s="10" t="s">
        <v>8</v>
      </c>
      <c r="J15" s="11">
        <v>397200</v>
      </c>
    </row>
    <row r="16" spans="2:10" x14ac:dyDescent="0.35">
      <c r="B16" s="10" t="s">
        <v>52</v>
      </c>
      <c r="C16" s="11">
        <v>80700</v>
      </c>
      <c r="D16" s="6">
        <v>67</v>
      </c>
      <c r="F16" s="10" t="s">
        <v>9</v>
      </c>
      <c r="G16" s="11">
        <v>3145000</v>
      </c>
      <c r="I16" s="10" t="s">
        <v>209</v>
      </c>
      <c r="J16" s="11">
        <v>423400</v>
      </c>
    </row>
    <row r="17" spans="2:10" x14ac:dyDescent="0.35">
      <c r="I17" s="10" t="s">
        <v>47</v>
      </c>
      <c r="J17" s="11">
        <v>492400</v>
      </c>
    </row>
    <row r="18" spans="2:10" x14ac:dyDescent="0.35">
      <c r="I18" s="10" t="s">
        <v>75</v>
      </c>
      <c r="J18" s="11">
        <v>567800</v>
      </c>
    </row>
    <row r="19" spans="2:10" x14ac:dyDescent="0.35">
      <c r="B19" s="7" t="s">
        <v>1768</v>
      </c>
      <c r="C19" t="s">
        <v>1764</v>
      </c>
      <c r="F19" s="7" t="s">
        <v>1768</v>
      </c>
      <c r="G19" t="s">
        <v>1764</v>
      </c>
      <c r="I19" s="10" t="s">
        <v>26</v>
      </c>
      <c r="J19" s="11">
        <v>882000</v>
      </c>
    </row>
    <row r="20" spans="2:10" x14ac:dyDescent="0.35">
      <c r="B20" s="10" t="s">
        <v>1736</v>
      </c>
      <c r="C20" s="11">
        <v>3371800</v>
      </c>
      <c r="F20" s="10" t="s">
        <v>1733</v>
      </c>
      <c r="G20" s="11">
        <v>2459700</v>
      </c>
      <c r="I20" s="10" t="s">
        <v>1</v>
      </c>
      <c r="J20" s="11">
        <v>1160200</v>
      </c>
    </row>
    <row r="21" spans="2:10" x14ac:dyDescent="0.35">
      <c r="B21" s="10" t="s">
        <v>1735</v>
      </c>
      <c r="C21" s="11">
        <v>1966000</v>
      </c>
      <c r="F21" s="10" t="s">
        <v>1734</v>
      </c>
      <c r="G21" s="11">
        <v>4580700</v>
      </c>
      <c r="I21" s="10" t="s">
        <v>15</v>
      </c>
      <c r="J21" s="11">
        <v>1299800</v>
      </c>
    </row>
    <row r="22" spans="2:10" x14ac:dyDescent="0.35">
      <c r="B22" s="10" t="s">
        <v>1737</v>
      </c>
      <c r="C22" s="11">
        <v>1662500</v>
      </c>
    </row>
    <row r="23" spans="2:10" x14ac:dyDescent="0.35">
      <c r="B23" s="10" t="s">
        <v>1738</v>
      </c>
      <c r="C23" s="11">
        <v>40100</v>
      </c>
    </row>
    <row r="25" spans="2:10" x14ac:dyDescent="0.35">
      <c r="B25" s="7" t="s">
        <v>1768</v>
      </c>
      <c r="C25" t="s">
        <v>1764</v>
      </c>
    </row>
    <row r="26" spans="2:10" x14ac:dyDescent="0.35">
      <c r="B26" s="10" t="s">
        <v>1731</v>
      </c>
      <c r="C26" s="11">
        <v>894200</v>
      </c>
    </row>
    <row r="27" spans="2:10" x14ac:dyDescent="0.35">
      <c r="B27" s="10" t="s">
        <v>1732</v>
      </c>
      <c r="C27" s="11">
        <v>6146200</v>
      </c>
    </row>
    <row r="28" spans="2:10" x14ac:dyDescent="0.35">
      <c r="B28" s="10" t="s">
        <v>1769</v>
      </c>
      <c r="C28" s="11">
        <v>7040400</v>
      </c>
    </row>
  </sheetData>
  <pageMargins left="0.7" right="0.7" top="0.75" bottom="0.75" header="0.3" footer="0.3"/>
  <pageSetup orientation="portrait" horizontalDpi="1200" verticalDpi="1200"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sheetPr codeName="Sheet3"/>
  <dimension ref="B2:AW477"/>
  <sheetViews>
    <sheetView zoomScale="60" zoomScaleNormal="60" workbookViewId="0"/>
  </sheetViews>
  <sheetFormatPr defaultColWidth="8.81640625" defaultRowHeight="14.5" x14ac:dyDescent="0.35"/>
  <cols>
    <col min="1" max="1" width="24.08984375" customWidth="1"/>
    <col min="3" max="3" width="22.1796875" customWidth="1"/>
    <col min="4" max="4" width="19" customWidth="1"/>
    <col min="20" max="20" width="20" customWidth="1"/>
    <col min="24" max="24" width="18.81640625" customWidth="1"/>
  </cols>
  <sheetData>
    <row r="2" spans="2:49" ht="15.5" x14ac:dyDescent="0.35">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5" x14ac:dyDescent="0.35">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5.5" x14ac:dyDescent="0.35">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5.5" x14ac:dyDescent="0.35">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5.5" x14ac:dyDescent="0.35">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5.5" x14ac:dyDescent="0.35">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5.5" x14ac:dyDescent="0.35">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5.5" x14ac:dyDescent="0.35">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5.5" x14ac:dyDescent="0.35">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5.5" x14ac:dyDescent="0.35">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5.5" x14ac:dyDescent="0.35">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5.5" x14ac:dyDescent="0.35">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5.5" x14ac:dyDescent="0.35">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5.5" x14ac:dyDescent="0.35">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5.5" x14ac:dyDescent="0.35">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5.5" x14ac:dyDescent="0.35">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5.5" x14ac:dyDescent="0.35">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5.5" x14ac:dyDescent="0.35">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5.5" x14ac:dyDescent="0.35">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5.5" x14ac:dyDescent="0.35">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5.5" x14ac:dyDescent="0.35">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5.5" x14ac:dyDescent="0.35">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5.5" x14ac:dyDescent="0.35">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5.5" x14ac:dyDescent="0.35">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5.5" x14ac:dyDescent="0.35">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5.5" x14ac:dyDescent="0.35">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5.5" x14ac:dyDescent="0.35">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5.5" x14ac:dyDescent="0.35">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5.5" x14ac:dyDescent="0.35">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5.5" x14ac:dyDescent="0.35">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5.5" x14ac:dyDescent="0.35">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5.5" x14ac:dyDescent="0.35">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5.5" x14ac:dyDescent="0.35">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5.5" x14ac:dyDescent="0.35">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5.5" x14ac:dyDescent="0.35">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5.5" x14ac:dyDescent="0.35">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5.5" x14ac:dyDescent="0.35">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5.5" x14ac:dyDescent="0.35">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5.5" x14ac:dyDescent="0.35">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5.5" x14ac:dyDescent="0.35">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5.5" x14ac:dyDescent="0.35">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5.5" x14ac:dyDescent="0.35">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5.5" x14ac:dyDescent="0.35">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5.5" x14ac:dyDescent="0.35">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5.5" x14ac:dyDescent="0.35">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5.5" x14ac:dyDescent="0.35">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5.5" x14ac:dyDescent="0.35">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5.5" x14ac:dyDescent="0.35">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5.5" x14ac:dyDescent="0.35">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5.5" x14ac:dyDescent="0.35">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5.5" x14ac:dyDescent="0.35">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5.5" x14ac:dyDescent="0.35">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5.5" x14ac:dyDescent="0.35">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5.5" x14ac:dyDescent="0.35">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5.5" x14ac:dyDescent="0.35">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5.5" x14ac:dyDescent="0.35">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5.5" x14ac:dyDescent="0.35">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5.5" x14ac:dyDescent="0.35">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5.5" x14ac:dyDescent="0.35">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5.5" x14ac:dyDescent="0.35">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5.5" x14ac:dyDescent="0.35">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5.5" x14ac:dyDescent="0.35">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5.5" x14ac:dyDescent="0.35">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5.5" x14ac:dyDescent="0.35">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5.5" x14ac:dyDescent="0.35">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5.5" x14ac:dyDescent="0.35">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5.5" x14ac:dyDescent="0.35">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5.5" x14ac:dyDescent="0.35">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5.5" x14ac:dyDescent="0.35">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5.5" x14ac:dyDescent="0.35">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5.5" x14ac:dyDescent="0.35">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5.5" x14ac:dyDescent="0.35">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5.5" x14ac:dyDescent="0.35">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5.5" x14ac:dyDescent="0.35">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5.5" x14ac:dyDescent="0.35">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5.5" x14ac:dyDescent="0.35">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5.5" x14ac:dyDescent="0.35">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5.5" x14ac:dyDescent="0.35">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5.5" x14ac:dyDescent="0.35">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5.5" x14ac:dyDescent="0.35">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5.5" x14ac:dyDescent="0.35">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5.5" x14ac:dyDescent="0.35">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5.5" x14ac:dyDescent="0.35">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5.5" x14ac:dyDescent="0.35">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5.5" x14ac:dyDescent="0.35">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5.5" x14ac:dyDescent="0.35">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5.5" x14ac:dyDescent="0.35">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5.5" x14ac:dyDescent="0.35">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5.5" x14ac:dyDescent="0.35">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5.5" x14ac:dyDescent="0.35">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5.5" x14ac:dyDescent="0.35">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5.5" x14ac:dyDescent="0.35">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5.5" x14ac:dyDescent="0.35">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5.5" x14ac:dyDescent="0.35">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5.5" x14ac:dyDescent="0.35">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5.5" x14ac:dyDescent="0.35">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5.5" x14ac:dyDescent="0.35">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5.5" x14ac:dyDescent="0.35">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5.5" x14ac:dyDescent="0.35">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5.5" x14ac:dyDescent="0.35">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5.5" x14ac:dyDescent="0.35">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5.5" x14ac:dyDescent="0.35">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5.5" x14ac:dyDescent="0.35">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5.5" x14ac:dyDescent="0.35">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5.5" x14ac:dyDescent="0.35">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5.5" x14ac:dyDescent="0.35">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5.5" x14ac:dyDescent="0.35">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5.5" x14ac:dyDescent="0.35">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5.5" x14ac:dyDescent="0.35">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5.5" x14ac:dyDescent="0.35">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5.5" x14ac:dyDescent="0.35">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5.5" x14ac:dyDescent="0.35">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5.5" x14ac:dyDescent="0.35">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5.5" x14ac:dyDescent="0.35">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5.5" x14ac:dyDescent="0.35">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5.5" x14ac:dyDescent="0.35">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5.5" x14ac:dyDescent="0.35">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5.5" x14ac:dyDescent="0.35">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5.5" x14ac:dyDescent="0.35">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5.5" x14ac:dyDescent="0.35">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5.5" x14ac:dyDescent="0.35">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5.5" x14ac:dyDescent="0.35">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5.5" x14ac:dyDescent="0.35">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5.5" x14ac:dyDescent="0.35">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5.5" x14ac:dyDescent="0.35">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5.5" x14ac:dyDescent="0.35">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5.5" x14ac:dyDescent="0.35">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5.5" x14ac:dyDescent="0.35">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5.5" x14ac:dyDescent="0.35">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5.5" x14ac:dyDescent="0.35">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5.5" x14ac:dyDescent="0.35">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5.5" x14ac:dyDescent="0.35">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5.5" x14ac:dyDescent="0.35">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5.5" x14ac:dyDescent="0.35">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5.5" x14ac:dyDescent="0.35">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5.5" x14ac:dyDescent="0.35">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5.5" x14ac:dyDescent="0.35">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5.5" x14ac:dyDescent="0.35">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5.5" x14ac:dyDescent="0.35">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5.5" x14ac:dyDescent="0.35">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5.5" x14ac:dyDescent="0.35">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5.5" x14ac:dyDescent="0.35">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5.5" x14ac:dyDescent="0.35">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5.5" x14ac:dyDescent="0.35">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5.5" x14ac:dyDescent="0.35">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5.5" x14ac:dyDescent="0.35">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5.5" x14ac:dyDescent="0.35">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5.5" x14ac:dyDescent="0.35">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5.5" x14ac:dyDescent="0.35">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5.5" x14ac:dyDescent="0.35">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5.5" x14ac:dyDescent="0.35">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5.5" x14ac:dyDescent="0.35">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5.5" x14ac:dyDescent="0.35">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5.5" x14ac:dyDescent="0.35">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5.5" x14ac:dyDescent="0.35">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5.5" x14ac:dyDescent="0.35">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5.5" x14ac:dyDescent="0.35">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5.5" x14ac:dyDescent="0.35">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5.5" x14ac:dyDescent="0.35">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5.5" x14ac:dyDescent="0.35">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5.5" x14ac:dyDescent="0.35">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5.5" x14ac:dyDescent="0.35">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5.5" x14ac:dyDescent="0.35">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5.5" x14ac:dyDescent="0.35">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5.5" x14ac:dyDescent="0.35">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5.5" x14ac:dyDescent="0.35">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5.5" x14ac:dyDescent="0.35">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5.5" x14ac:dyDescent="0.35">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5.5" x14ac:dyDescent="0.35">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5.5" x14ac:dyDescent="0.35">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5.5" x14ac:dyDescent="0.35">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5.5" x14ac:dyDescent="0.35">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5.5" x14ac:dyDescent="0.35">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5.5" x14ac:dyDescent="0.35">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5.5" x14ac:dyDescent="0.35">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5.5" x14ac:dyDescent="0.35">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5.5" x14ac:dyDescent="0.35">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5.5" x14ac:dyDescent="0.35">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5.5" x14ac:dyDescent="0.35">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5.5" x14ac:dyDescent="0.35">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5.5" x14ac:dyDescent="0.35">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5.5" x14ac:dyDescent="0.35">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5.5" x14ac:dyDescent="0.35">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5.5" x14ac:dyDescent="0.35">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5.5" x14ac:dyDescent="0.35">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5.5" x14ac:dyDescent="0.35">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5.5" x14ac:dyDescent="0.35">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5.5" x14ac:dyDescent="0.35">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5.5" x14ac:dyDescent="0.35">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5.5" x14ac:dyDescent="0.35">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5.5" x14ac:dyDescent="0.35">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5.5" x14ac:dyDescent="0.35">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5.5" x14ac:dyDescent="0.35">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5.5" x14ac:dyDescent="0.35">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5.5" x14ac:dyDescent="0.35">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5.5" x14ac:dyDescent="0.35">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5.5" x14ac:dyDescent="0.35">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5.5" x14ac:dyDescent="0.35">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5.5" x14ac:dyDescent="0.35">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5.5" x14ac:dyDescent="0.35">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5.5" x14ac:dyDescent="0.35">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5.5" x14ac:dyDescent="0.35">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5.5" x14ac:dyDescent="0.35">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5.5" x14ac:dyDescent="0.35">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5.5" x14ac:dyDescent="0.35">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5.5" x14ac:dyDescent="0.35">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5.5" x14ac:dyDescent="0.35">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5.5" x14ac:dyDescent="0.35">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5.5" x14ac:dyDescent="0.35">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5.5" x14ac:dyDescent="0.35">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5.5" x14ac:dyDescent="0.35">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5.5" x14ac:dyDescent="0.35">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5.5" x14ac:dyDescent="0.35">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5.5" x14ac:dyDescent="0.35">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5.5" x14ac:dyDescent="0.35">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5.5" x14ac:dyDescent="0.35">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5.5" x14ac:dyDescent="0.35">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5.5" x14ac:dyDescent="0.35">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5.5" x14ac:dyDescent="0.35">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5.5" x14ac:dyDescent="0.35">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5.5" x14ac:dyDescent="0.35">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5.5" x14ac:dyDescent="0.35">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5.5" x14ac:dyDescent="0.35">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5.5" x14ac:dyDescent="0.35">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5.5" x14ac:dyDescent="0.35">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5.5" x14ac:dyDescent="0.35">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5" x14ac:dyDescent="0.35">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5.5" x14ac:dyDescent="0.35">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5.5" x14ac:dyDescent="0.35">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5.5" x14ac:dyDescent="0.35">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5.5" x14ac:dyDescent="0.35">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5.5" x14ac:dyDescent="0.35">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5.5" x14ac:dyDescent="0.35">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5.5" x14ac:dyDescent="0.35">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5.5" x14ac:dyDescent="0.35">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5.5" x14ac:dyDescent="0.35">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5.5" x14ac:dyDescent="0.35">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5.5" x14ac:dyDescent="0.35">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5.5" x14ac:dyDescent="0.35">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5.5" x14ac:dyDescent="0.35">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5.5" x14ac:dyDescent="0.35">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5.5" x14ac:dyDescent="0.35">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5.5" x14ac:dyDescent="0.35">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5.5" x14ac:dyDescent="0.35">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5.5" x14ac:dyDescent="0.35">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5.5" x14ac:dyDescent="0.35">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5.5" x14ac:dyDescent="0.35">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5.5" x14ac:dyDescent="0.35">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5.5" x14ac:dyDescent="0.35">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5.5" x14ac:dyDescent="0.35">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5.5" x14ac:dyDescent="0.35">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5.5" x14ac:dyDescent="0.35">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5.5" x14ac:dyDescent="0.35">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5.5" x14ac:dyDescent="0.35">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5.5" x14ac:dyDescent="0.35">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5.5" x14ac:dyDescent="0.35">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5.5" x14ac:dyDescent="0.35">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5.5" x14ac:dyDescent="0.35">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5.5" x14ac:dyDescent="0.35">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5.5" x14ac:dyDescent="0.35">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5.5" x14ac:dyDescent="0.35">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5.5" x14ac:dyDescent="0.35">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5.5" x14ac:dyDescent="0.35">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5.5" x14ac:dyDescent="0.35">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5.5" x14ac:dyDescent="0.35">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5.5" x14ac:dyDescent="0.35">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5.5" x14ac:dyDescent="0.35">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5.5" x14ac:dyDescent="0.35">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5.5" x14ac:dyDescent="0.35">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5.5" x14ac:dyDescent="0.35">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5.5" x14ac:dyDescent="0.35">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5.5" x14ac:dyDescent="0.35">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5.5" x14ac:dyDescent="0.35">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5.5" x14ac:dyDescent="0.35">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5.5" x14ac:dyDescent="0.35">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5.5" x14ac:dyDescent="0.35">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5.5" x14ac:dyDescent="0.35">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5.5" x14ac:dyDescent="0.35">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5.5" x14ac:dyDescent="0.35">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5.5" x14ac:dyDescent="0.35">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5.5" x14ac:dyDescent="0.35">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5.5" x14ac:dyDescent="0.35">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5.5" x14ac:dyDescent="0.35">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5.5" x14ac:dyDescent="0.35">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5.5" x14ac:dyDescent="0.35">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5.5" x14ac:dyDescent="0.35">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5.5" x14ac:dyDescent="0.35">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5.5" x14ac:dyDescent="0.35">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5.5" x14ac:dyDescent="0.35">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5.5" x14ac:dyDescent="0.35">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5.5" x14ac:dyDescent="0.35">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5.5" x14ac:dyDescent="0.35">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5.5" x14ac:dyDescent="0.35">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5.5" x14ac:dyDescent="0.35">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5.5" x14ac:dyDescent="0.35">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5.5" x14ac:dyDescent="0.35">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5.5" x14ac:dyDescent="0.35">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5.5" x14ac:dyDescent="0.35">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5.5" x14ac:dyDescent="0.35">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5.5" x14ac:dyDescent="0.35">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5.5" x14ac:dyDescent="0.35">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5.5" x14ac:dyDescent="0.35">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5.5" x14ac:dyDescent="0.35">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5.5" x14ac:dyDescent="0.35">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5.5" x14ac:dyDescent="0.35">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5.5" x14ac:dyDescent="0.35">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5.5" x14ac:dyDescent="0.35">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5.5" x14ac:dyDescent="0.35">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5.5" x14ac:dyDescent="0.35">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5.5" x14ac:dyDescent="0.35">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5.5" x14ac:dyDescent="0.35">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5.5" x14ac:dyDescent="0.35">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5.5" x14ac:dyDescent="0.35">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5.5" x14ac:dyDescent="0.35">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5.5" x14ac:dyDescent="0.35">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5.5" x14ac:dyDescent="0.35">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5.5" x14ac:dyDescent="0.35">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5.5" x14ac:dyDescent="0.35">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5.5" x14ac:dyDescent="0.35">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5.5" x14ac:dyDescent="0.35">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5.5" x14ac:dyDescent="0.35">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5.5" x14ac:dyDescent="0.35">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5.5" x14ac:dyDescent="0.35">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5.5" x14ac:dyDescent="0.35">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5.5" x14ac:dyDescent="0.35">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5.5" x14ac:dyDescent="0.35">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5.5" x14ac:dyDescent="0.35">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5.5" x14ac:dyDescent="0.35">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5.5" x14ac:dyDescent="0.35">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5.5" x14ac:dyDescent="0.35">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5.5" x14ac:dyDescent="0.35">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5.5" x14ac:dyDescent="0.35">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5.5" x14ac:dyDescent="0.35">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5.5" x14ac:dyDescent="0.35">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5.5" x14ac:dyDescent="0.35">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5.5" x14ac:dyDescent="0.35">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5.5" x14ac:dyDescent="0.35">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5.5" x14ac:dyDescent="0.35">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5.5" x14ac:dyDescent="0.35">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5.5" x14ac:dyDescent="0.35">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5.5" x14ac:dyDescent="0.35">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5.5" x14ac:dyDescent="0.35">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5.5" x14ac:dyDescent="0.35">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5.5" x14ac:dyDescent="0.35">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5.5" x14ac:dyDescent="0.35">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5.5" x14ac:dyDescent="0.35">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5.5" x14ac:dyDescent="0.35">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5.5" x14ac:dyDescent="0.35">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5.5" x14ac:dyDescent="0.35">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5.5" x14ac:dyDescent="0.35">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5.5" x14ac:dyDescent="0.35">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5.5" x14ac:dyDescent="0.35">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5.5" x14ac:dyDescent="0.35">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5.5" x14ac:dyDescent="0.35">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5.5" x14ac:dyDescent="0.35">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5.5" x14ac:dyDescent="0.35">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5.5" x14ac:dyDescent="0.35">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5.5" x14ac:dyDescent="0.35">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5.5" x14ac:dyDescent="0.35">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5.5" x14ac:dyDescent="0.35">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5.5" x14ac:dyDescent="0.35">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5.5" x14ac:dyDescent="0.35">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5.5" x14ac:dyDescent="0.35">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5.5" x14ac:dyDescent="0.35">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5.5" x14ac:dyDescent="0.35">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5.5" x14ac:dyDescent="0.35">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5.5" x14ac:dyDescent="0.35">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5.5" x14ac:dyDescent="0.35">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5.5" x14ac:dyDescent="0.35">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5.5" x14ac:dyDescent="0.35">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5.5" x14ac:dyDescent="0.35">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5.5" x14ac:dyDescent="0.35">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5.5" x14ac:dyDescent="0.35">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5.5" x14ac:dyDescent="0.35">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5.5" x14ac:dyDescent="0.35">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5.5" x14ac:dyDescent="0.35">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5.5" x14ac:dyDescent="0.35">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5.5" x14ac:dyDescent="0.35">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5.5" x14ac:dyDescent="0.35">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5.5" x14ac:dyDescent="0.35">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5.5" x14ac:dyDescent="0.35">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5.5" x14ac:dyDescent="0.35">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5.5" x14ac:dyDescent="0.35">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5.5" x14ac:dyDescent="0.35">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5.5" x14ac:dyDescent="0.35">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5.5" x14ac:dyDescent="0.35">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5.5" x14ac:dyDescent="0.35">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5.5" x14ac:dyDescent="0.35">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5.5" x14ac:dyDescent="0.35">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5.5" x14ac:dyDescent="0.35">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5.5" x14ac:dyDescent="0.35">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5.5" x14ac:dyDescent="0.35">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5.5" x14ac:dyDescent="0.35">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5" x14ac:dyDescent="0.35">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5.5" x14ac:dyDescent="0.35">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5.5" x14ac:dyDescent="0.35">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5.5" x14ac:dyDescent="0.35">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5.5" x14ac:dyDescent="0.35">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5.5" x14ac:dyDescent="0.35">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5.5" x14ac:dyDescent="0.35">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5.5" x14ac:dyDescent="0.35">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5.5" x14ac:dyDescent="0.35">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5.5" x14ac:dyDescent="0.35">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5.5" x14ac:dyDescent="0.35">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5.5" x14ac:dyDescent="0.35">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5.5" x14ac:dyDescent="0.35">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5.5" x14ac:dyDescent="0.35">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5.5" x14ac:dyDescent="0.35">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5.5" x14ac:dyDescent="0.35">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5.5" x14ac:dyDescent="0.35">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5.5" x14ac:dyDescent="0.35">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5.5" x14ac:dyDescent="0.35">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5.5" x14ac:dyDescent="0.35">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5.5" x14ac:dyDescent="0.35">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5.5" x14ac:dyDescent="0.35">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5.5" x14ac:dyDescent="0.35">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5" x14ac:dyDescent="0.35">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5.5" x14ac:dyDescent="0.35">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5.5" x14ac:dyDescent="0.35">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5.5" x14ac:dyDescent="0.35">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5.5" x14ac:dyDescent="0.35">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5.5" x14ac:dyDescent="0.35">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5.5" x14ac:dyDescent="0.35">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5.5" x14ac:dyDescent="0.35">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5.5" x14ac:dyDescent="0.35">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5.5" x14ac:dyDescent="0.35">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5.5" x14ac:dyDescent="0.35">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5.5" x14ac:dyDescent="0.35">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5.5" x14ac:dyDescent="0.35">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5.5" x14ac:dyDescent="0.35">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5.5" x14ac:dyDescent="0.35">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5.5" x14ac:dyDescent="0.35">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5.5" x14ac:dyDescent="0.35">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5.5" x14ac:dyDescent="0.35">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5.5" x14ac:dyDescent="0.35">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5.5" x14ac:dyDescent="0.35">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5.5" x14ac:dyDescent="0.35">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5.5" x14ac:dyDescent="0.35">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5.5" x14ac:dyDescent="0.35">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5.5" x14ac:dyDescent="0.35">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5.5" x14ac:dyDescent="0.35">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5.5" x14ac:dyDescent="0.35">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5.5" x14ac:dyDescent="0.35">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5.5" x14ac:dyDescent="0.35">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5.5" x14ac:dyDescent="0.35">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5.5" x14ac:dyDescent="0.35">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5.5" x14ac:dyDescent="0.35">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5.5" x14ac:dyDescent="0.35">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5.5" x14ac:dyDescent="0.35">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5.5" x14ac:dyDescent="0.35">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5.5" x14ac:dyDescent="0.35">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5.5" x14ac:dyDescent="0.35">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5.5" x14ac:dyDescent="0.35">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5.5" x14ac:dyDescent="0.35">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5.5" x14ac:dyDescent="0.35">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5.5" x14ac:dyDescent="0.35">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5.5" x14ac:dyDescent="0.35">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5.5" x14ac:dyDescent="0.35">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5.5" x14ac:dyDescent="0.35">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5.5" x14ac:dyDescent="0.35">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5.5" x14ac:dyDescent="0.35">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5.5" x14ac:dyDescent="0.35">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5.5" x14ac:dyDescent="0.35">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5.5" x14ac:dyDescent="0.35">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5.5" x14ac:dyDescent="0.35">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5" x14ac:dyDescent="0.35">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5.5" x14ac:dyDescent="0.35">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5.5" x14ac:dyDescent="0.35">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5.5" x14ac:dyDescent="0.35">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5.5" x14ac:dyDescent="0.35">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5.5" x14ac:dyDescent="0.35">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5.5" x14ac:dyDescent="0.35">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5.5" x14ac:dyDescent="0.35">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5.5" x14ac:dyDescent="0.35">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5.5" x14ac:dyDescent="0.35">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5.5" x14ac:dyDescent="0.35">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Dashboard</vt:lpstr>
      <vt:lpstr>Analysis</vt:lpstr>
      <vt:lpstr>Data</vt:lpstr>
      <vt:lpstr>age</vt:lpstr>
      <vt:lpstr>namecount</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yee mon soe -</cp:lastModifiedBy>
  <dcterms:created xsi:type="dcterms:W3CDTF">2024-11-18T08:12:48Z</dcterms:created>
  <dcterms:modified xsi:type="dcterms:W3CDTF">2026-01-12T18:21:13Z</dcterms:modified>
</cp:coreProperties>
</file>